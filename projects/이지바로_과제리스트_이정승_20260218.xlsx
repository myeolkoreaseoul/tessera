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동회계법인\Documents\"/>
    </mc:Choice>
  </mc:AlternateContent>
  <xr:revisionPtr revIDLastSave="0" documentId="8_{374C2D03-A6AD-40F4-A8F3-E6260EC80D6E}" xr6:coauthVersionLast="47" xr6:coauthVersionMax="47" xr10:uidLastSave="{00000000-0000-0000-0000-000000000000}"/>
  <bookViews>
    <workbookView xWindow="19290" yWindow="2490" windowWidth="27585" windowHeight="9735" xr2:uid="{61132E2B-897E-418F-86B6-4026C5358CAA}"/>
  </bookViews>
  <sheets>
    <sheet name="Sheet2" sheetId="2" r:id="rId1"/>
    <sheet name="단계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<sst xmlns="http://schemas.openxmlformats.org/spreadsheetml/2006/main" count="2207" uniqueCount="665">
  <si>
    <t>순번</t>
  </si>
  <si>
    <t>전문기관</t>
  </si>
  <si>
    <t>사업년도</t>
  </si>
  <si>
    <t>과제번호</t>
    <phoneticPr fontId="4" type="noConversion"/>
  </si>
  <si>
    <t>과제명</t>
  </si>
  <si>
    <t>단계</t>
    <phoneticPr fontId="4" type="noConversion"/>
  </si>
  <si>
    <t>연차</t>
    <phoneticPr fontId="4" type="noConversion"/>
  </si>
  <si>
    <t>과제시작일자
(당해)</t>
    <phoneticPr fontId="4" type="noConversion"/>
  </si>
  <si>
    <t>과제종료일자(당해)</t>
    <phoneticPr fontId="4" type="noConversion"/>
  </si>
  <si>
    <t>보고서 제출기한</t>
    <phoneticPr fontId="4" type="noConversion"/>
  </si>
  <si>
    <t>연구수행기관</t>
  </si>
  <si>
    <t>연구책임자</t>
  </si>
  <si>
    <t>이메일</t>
    <phoneticPr fontId="4" type="noConversion"/>
  </si>
  <si>
    <t>연락처</t>
    <phoneticPr fontId="4" type="noConversion"/>
  </si>
  <si>
    <t>연구비현금</t>
    <phoneticPr fontId="4" type="noConversion"/>
  </si>
  <si>
    <t>기관수(S등급포함)</t>
    <phoneticPr fontId="5" type="noConversion"/>
  </si>
  <si>
    <t>정산형태</t>
    <phoneticPr fontId="4" type="noConversion"/>
  </si>
  <si>
    <t>회계사</t>
    <phoneticPr fontId="5" type="noConversion"/>
  </si>
  <si>
    <t>담당자</t>
    <phoneticPr fontId="5" type="noConversion"/>
  </si>
  <si>
    <t>특이사항</t>
    <phoneticPr fontId="4" type="noConversion"/>
  </si>
  <si>
    <t>세금계산서 발행일</t>
    <phoneticPr fontId="5" type="noConversion"/>
  </si>
  <si>
    <t>수수료입금</t>
    <phoneticPr fontId="5" type="noConversion"/>
  </si>
  <si>
    <t>비고</t>
    <phoneticPr fontId="5" type="noConversion"/>
  </si>
  <si>
    <t>전문기관간사</t>
    <phoneticPr fontId="5" type="noConversion"/>
  </si>
  <si>
    <t>간사연락처</t>
    <phoneticPr fontId="5" type="noConversion"/>
  </si>
  <si>
    <t>리뷰어</t>
    <phoneticPr fontId="4" type="noConversion"/>
  </si>
  <si>
    <t>이전담당자</t>
    <phoneticPr fontId="4" type="noConversion"/>
  </si>
  <si>
    <t>8월임시배정</t>
    <phoneticPr fontId="4" type="noConversion"/>
  </si>
  <si>
    <t>국토교통과학기술진흥원</t>
    <phoneticPr fontId="4" type="noConversion"/>
  </si>
  <si>
    <t>RS-2025-02317649</t>
  </si>
  <si>
    <t>국토정보 고도화를 위한 입체격자체계 적용 및 활용 기술개발
[(주관/공동)주관과제] 안양대학교산학협력단 (041550)
[국토정보고도화를위한입체격자체계적용및활용기술개발]</t>
  </si>
  <si>
    <t>안양대학교산학협력단 (041550)</t>
  </si>
  <si>
    <t>안종욱</t>
  </si>
  <si>
    <t>15</t>
    <phoneticPr fontId="4" type="noConversion"/>
  </si>
  <si>
    <t>상시보고서</t>
  </si>
  <si>
    <t>이정승</t>
  </si>
  <si>
    <t>박정렬</t>
  </si>
  <si>
    <t>RS-2022-00144012</t>
  </si>
  <si>
    <t>국토교통 데이터 산업 활성화를 위한 생애주기별 기반환경 조성 및 실증서비스 개발
[(주관/공동)주관과제] 한국도로공사 (051937)
[국토교통 데이터 산업 생태계 플랫폼 구축]</t>
  </si>
  <si>
    <t>한국도로공사 (051937)</t>
  </si>
  <si>
    <t>박신</t>
  </si>
  <si>
    <t>감사보고서</t>
  </si>
  <si>
    <t>농림식품기술기획평가원</t>
    <phoneticPr fontId="4" type="noConversion"/>
  </si>
  <si>
    <t>2025</t>
  </si>
  <si>
    <t>RS-2025-02314494</t>
  </si>
  <si>
    <t>국내 다축종(소, 염소) 크립토스포리디움 감염증 예방을 위한 백신 국산화
[(주관/공동)주관과제] 전북대학교산학협력단 (046903)
[동물용의약품국산화]</t>
  </si>
  <si>
    <t>전북대학교산학협력단 (046903)</t>
  </si>
  <si>
    <t>조호성</t>
  </si>
  <si>
    <t>RS-2025-02307408</t>
  </si>
  <si>
    <t>노지 작물 방제 스마트패키지 기술 산업화
[(주관/공동)주관과제] 경농산업 (028972)
[노지스마트 농업표준모델 산업화]</t>
  </si>
  <si>
    <t>경농산업 (028972)</t>
  </si>
  <si>
    <t>김주환</t>
  </si>
  <si>
    <t>RS-2025-02304283</t>
  </si>
  <si>
    <t>스마트 온실 인공지능 기반 적정 제어를 위한 온실 에너지 균형 및 작물 생육 시뮬레이션 SW 개발
[(주관/공동)주관과제] 주식회사 대동에이아이랩 (063117)
[차세대 융합 원천]</t>
  </si>
  <si>
    <t>주식회사 대동에이아이랩 (063117)</t>
  </si>
  <si>
    <t>황승원</t>
  </si>
  <si>
    <t>RS-2025-02218789</t>
  </si>
  <si>
    <t>동남아 고온 환경 맞춤형 반려동물 고면역 혈장제제 개발 및 수출전략 수립
[(주관/공동)주관과제] 씨티씨바이오 (012054)
[전략품목수출활성화]</t>
  </si>
  <si>
    <t>씨티씨바이오 (012054)</t>
  </si>
  <si>
    <t>정호경</t>
  </si>
  <si>
    <t>RS-2025-02217692</t>
  </si>
  <si>
    <t>N. benthamiana 식물발현 시스템을 이용한 소바이러스설사병 그린 DIVA 백신 개발
[(주관/공동)주관과제] (주)바이오앱 (007542)
[동물용의약품국산화]</t>
  </si>
  <si>
    <t>(주)바이오앱 (007542)</t>
  </si>
  <si>
    <t>박영민</t>
  </si>
  <si>
    <t>송영지</t>
  </si>
  <si>
    <t>RS-2025-02216783</t>
  </si>
  <si>
    <t>콩 스마트농업 표준모델 종합실증 및 최적화
[(주관/공동)주관과제] 주식회사 인포벨리코리아 (019605)
[노지스마트 농업표준모델 산업화]</t>
  </si>
  <si>
    <t>주식회사 인포벨리코리아 (019605)</t>
  </si>
  <si>
    <t>김종관</t>
  </si>
  <si>
    <t>국가신약개발재단</t>
    <phoneticPr fontId="4" type="noConversion"/>
  </si>
  <si>
    <t>RS-2023-00282592</t>
  </si>
  <si>
    <t>반감기가 증가된 혈우병 우회인자 치료제 TU7710의 임상1상 연구
[(주관/공동)주관과제] (주)티움바이오 (024237)
[신약 임상개발]</t>
  </si>
  <si>
    <t>(주)티움바이오 (024237)</t>
  </si>
  <si>
    <t>문주환</t>
  </si>
  <si>
    <t>사업기간연장으로 감사보고서에서 상시보고서로 변경 /  사업비증액없어서 수수료 변경X</t>
  </si>
  <si>
    <t>박민주</t>
  </si>
  <si>
    <t>RS-2022-DD129104</t>
  </si>
  <si>
    <t>신약개발의 주요 단계별 장벽해소를 통한 국가신약개발사업 성공률 제고 지원
[(주관/공동)주관과제] 재단법인 국가신약개발사업단 (046591)
[신약 R&amp;D 사업화 지원]</t>
  </si>
  <si>
    <t>재단법인 국가신약개발사업단 (046591)</t>
  </si>
  <si>
    <t>정해인</t>
  </si>
  <si>
    <t>국가신약개발재단</t>
  </si>
  <si>
    <t>RS-2025-25454824</t>
  </si>
  <si>
    <t>중증근무력증 치료제 개발을 위한 보체 C5 억제 치료용 항체의  글로벌 임상1b상 연구
[(주관/공동)주관과제] 이뮨앱스 (058786)
[신약 임상개발]</t>
  </si>
  <si>
    <t>이뮨앱스 (058786)</t>
  </si>
  <si>
    <t>김동조</t>
  </si>
  <si>
    <t>상시보고서</t>
    <phoneticPr fontId="4" type="noConversion"/>
  </si>
  <si>
    <t>2025-12-04 신규배정</t>
  </si>
  <si>
    <t>RS-2025-25453248</t>
  </si>
  <si>
    <t>NOTCH1 억제 작용기전의 NB-101 근감소증 치료제 후보물질 도출
[(주관/공동)주관과제] 주식회사 엔비사이언스 (060705)
[신약 R&amp;D 생태계 구축 연구]</t>
  </si>
  <si>
    <t>주식회사 엔비사이언스 (060705)</t>
    <phoneticPr fontId="4" type="noConversion"/>
  </si>
  <si>
    <t>이상협</t>
  </si>
  <si>
    <t>범부처재생의료기술개발사업단</t>
    <phoneticPr fontId="4" type="noConversion"/>
  </si>
  <si>
    <t>RS-2024-00407593</t>
  </si>
  <si>
    <t>안드로겐성 탈모증 환자를 대상으로 EPI-001의 안전성/내약성 평가 및 유효성 탐색을 위한 제1/2a상 임상시험
[(주관/공동)주관과제] 주식회사 에피바이오텍 (059519)
[재생의료 치료제 치료기술 개발]</t>
  </si>
  <si>
    <t>주식회사 에피바이오텍 (059519)</t>
  </si>
  <si>
    <t>성종혁</t>
  </si>
  <si>
    <t>RS-2023-00215517</t>
  </si>
  <si>
    <t>자가면역 난치성질환인 다발성근염 또는 피부근염 환자 대상 PN-101의 제1/2a상 임상시험
[(주관/공동)주관과제] (주)파이안바이오테크놀로지 (061163)
[재생의료 치료제 치료기술 개발]</t>
  </si>
  <si>
    <t>(주)파이안바이오테크놀로지 (061163)</t>
  </si>
  <si>
    <t>한규범</t>
  </si>
  <si>
    <t>RS-2023-00214905</t>
  </si>
  <si>
    <t>분화와 교차분화 작용기전을 활용한 고순도, 고기능성 척수 운동신경 전구세포 확보기술 개발
[(주관/공동)주관과제] 고려대학교산학협력단 (029285)
[재생의료 원천기술 개발]</t>
  </si>
  <si>
    <t>고려대학교산학협력단 (029285)</t>
  </si>
  <si>
    <t>유승권</t>
  </si>
  <si>
    <t>RS-2022-00090257</t>
  </si>
  <si>
    <t>탈수초화 질환 세포치료제 개발을 위한 희소돌기아교전구세포 생산 기술의 고도화
[(주관/공동)주관과제] 가톨릭대학교산학협력단 (028566)
[재생의료 원천기술 개발]</t>
  </si>
  <si>
    <t>가톨릭대학교산학협력단 (028566)</t>
  </si>
  <si>
    <t>김기표</t>
  </si>
  <si>
    <t>RS-2022-00080258</t>
  </si>
  <si>
    <t>인슐린 의존형 당뇨병 치료를 위한 동종 지방 줄기세포와 췌도세포로 구성된 다층 세포시트의 유효성 및 안전성에 대한 연구
[(주관/공동)주관과제] 서울아산병원 (038491)
[재생의료 연계기술 개발(2)]</t>
  </si>
  <si>
    <t>서울아산병원 (038491)</t>
  </si>
  <si>
    <t>김송철</t>
  </si>
  <si>
    <t>범부처재생의료기술개발사업단</t>
  </si>
  <si>
    <t>21A0403</t>
  </si>
  <si>
    <t>상용화 역분화줄기세포 유래 심실 (Ventricle) 심근세포 생산 기술 개발 및 제품화</t>
  </si>
  <si>
    <t>(주)티앤알바이오팹</t>
  </si>
  <si>
    <t>윤원수</t>
  </si>
  <si>
    <t>한국보건산업진흥원</t>
    <phoneticPr fontId="4" type="noConversion"/>
  </si>
  <si>
    <t>RS-2025-02304519</t>
  </si>
  <si>
    <t>영유아 호흡기세포융합바이러스(RSV) 감염 진료 및 예방 지침 개발 연구
[(주관/공동)주관과제] 고려대학교산학협력단 (029285)
[의료기술 근거생성연구]</t>
  </si>
  <si>
    <t>김윤경</t>
  </si>
  <si>
    <t>감사보고서</t>
    <phoneticPr fontId="4" type="noConversion"/>
  </si>
  <si>
    <t>박유빈</t>
  </si>
  <si>
    <t>RS-2025-02293056</t>
  </si>
  <si>
    <t>비전이성 전립선암 환자들을 위한 최적의 치료 선택법 제시 : 수술 과 방사선 치료의 장기간 포괄적 효과 비교를 통한 근거 생성 연구
[(주관/공동)주관과제] 가톨릭대학교산학협력단 (028566)
[의료기술 비교평가연구]</t>
  </si>
  <si>
    <t>하유신</t>
  </si>
  <si>
    <t>RS-2025-02263117</t>
  </si>
  <si>
    <t>초고효율 유전체편집-항암바이러스 기술 융합 개인 맞춤형 암 치료제 개발 및 임상 최적화 연구
[(주관/공동)주관과제] 한국과학기술원 (051711)
[유전자, RNA 및 후성유전체 편집·제어기술 기반의 유전자 치료제 임상 최적화 연구]</t>
  </si>
  <si>
    <t>한국과학기술원 (051711)</t>
  </si>
  <si>
    <t>조성익</t>
  </si>
  <si>
    <t>정은정</t>
  </si>
  <si>
    <t>RS-2025-02262990</t>
  </si>
  <si>
    <t>불응성 암악액질 치료용 GFRAL 표적 항체-올리고 중합체 개발
[(주관/공동)주관과제] 한국과학기술원 (051711)
[유전자, RNA 및 후성유전체 편집·제어기술 기반의 유전자 치료제 임상 최적화 연구]</t>
  </si>
  <si>
    <t>김하일</t>
  </si>
  <si>
    <t>이윤희</t>
  </si>
  <si>
    <t>RS-2025-02222326</t>
  </si>
  <si>
    <t>중앙대학교 의료-인공지능 융합 학문 전문가 양성 사업
[(주관/공동)주관과제] 중앙대학교산학협력단 (047739)
[의료 인공지능 특화 융합인재 양성]</t>
  </si>
  <si>
    <t>중앙대학교산학협력단 (047739)</t>
  </si>
  <si>
    <t>김찬웅</t>
  </si>
  <si>
    <t>인공지능 융합인재양성 운영지침 적용</t>
    <phoneticPr fontId="4" type="noConversion"/>
  </si>
  <si>
    <t>김소영</t>
  </si>
  <si>
    <t>RS-2025-02220993</t>
  </si>
  <si>
    <t>손목터널증후군 한의표준임상진료지침(CPG) 고도화 및 표준임상경로(CP) 개발 연구
[(주관/공동)주관과제] 부산대학교한방병원 (036420)
[국가한의임상연구]</t>
  </si>
  <si>
    <t>부산대학교한방병원 (036420)</t>
  </si>
  <si>
    <t>황의형</t>
  </si>
  <si>
    <t>RS-2025-02220553</t>
  </si>
  <si>
    <t>요양병원 뇌신경질환 한의치료기술 근거합성
[(주관/공동)주관과제] 대구한의대학교산학협력단 (032087)
[국가한의임상연구]</t>
  </si>
  <si>
    <t>대구한의대학교산학협력단 (032087)</t>
  </si>
  <si>
    <t>장수빈</t>
  </si>
  <si>
    <t>RS-2025-02213566</t>
  </si>
  <si>
    <t>GAIA 플랫폼(항염증성 식세포작용 유도 기술) 기반 알츠하이머병 치료제 개발
[(주관/공동)주관과제] 일리미스테라퓨틱스 주식회사 (063426)
[치매극복 글로벌 공동연구]</t>
  </si>
  <si>
    <t>일리미스테라퓨틱스 주식회사 (063426)</t>
  </si>
  <si>
    <t>박상훈</t>
  </si>
  <si>
    <t>RS-2024-00450423</t>
  </si>
  <si>
    <t>약제내성 칸디다균에 대한 항진균제 개발
[(주관/공동)주관과제] 영남대학교산학협력단 (043325)
[미해결 치료제 도전 기술개발]</t>
  </si>
  <si>
    <t>영남대학교산학협력단 (043325)</t>
  </si>
  <si>
    <t>이진태</t>
  </si>
  <si>
    <t>이혜영</t>
  </si>
  <si>
    <t>RS-2024-00443699</t>
  </si>
  <si>
    <t>항상성 조절 기반의 다발성경화증 한의치료기술의 작용기전 규명과 적응증 확대 연구
[(주관/공동)주관과제] (서울)경희대학교산학협력단 (029226)
[혁신형 한의중개연구]</t>
  </si>
  <si>
    <t>(서울)경희대학교산학협력단 (029226)</t>
  </si>
  <si>
    <t>조익현</t>
  </si>
  <si>
    <t>소미진</t>
  </si>
  <si>
    <t>RS-2024-00345048</t>
  </si>
  <si>
    <t>미세아교세포 타겟 펩타이드 (KINE-101)를 이용한 알츠하이머 질환 치료제 개발
[(주관/공동)주관과제] 카인사이언스 (062394)
[예방 및 치료기술 개발]</t>
  </si>
  <si>
    <t>카인사이언스 (062394)</t>
  </si>
  <si>
    <t>구창규</t>
  </si>
  <si>
    <t>김유한</t>
  </si>
  <si>
    <t>RS-2024-00335889</t>
  </si>
  <si>
    <t>신규 항원설계에 기반한 개선된 효능을 보이는 뎅기열 다가백신 비임상 개발
[(주관/공동)주관과제] 엠큐렉스 주식회사 (062395)
[백신 자급화 기술개발]</t>
  </si>
  <si>
    <t>엠큐렉스 주식회사 (062395)</t>
  </si>
  <si>
    <t>이상욱</t>
  </si>
  <si>
    <t>RS-2023-KH141704</t>
  </si>
  <si>
    <t>임상시험 데이터 표준모델 개발을 통한 데이터 기반 임상시험 설계 플랫폼 개발 및 고도화
[(주관/공동)주관과제] 경희의료원 (029228)
[질환별 임상시험 관련 데이터 표준화 및 적용]</t>
  </si>
  <si>
    <t>경희의료원 (029228)</t>
  </si>
  <si>
    <t>연동건</t>
  </si>
  <si>
    <t>HE 사업단</t>
    <phoneticPr fontId="4" type="noConversion"/>
  </si>
  <si>
    <t>RS-2023-KH141565</t>
  </si>
  <si>
    <t>첨단바이오분야 초기 임상시험 관련 기술 개발
[(주관/공동)주관과제] 가톨릭대학교산학협력단 (028566)
[첨단바이오 분야 등 임상시험 기술개발]</t>
  </si>
  <si>
    <t>민창기</t>
  </si>
  <si>
    <t>RS-2023-00216069</t>
  </si>
  <si>
    <t>기능성 원료 등 중복/병용 섭취 안전성 예측 기술 개발 적용
[(주관/공동)주관과제] 이화여자대학교산학협력단 (045837)
[빅데이터 기반 건강기능식품 등 적정 섭취 기반 구축]</t>
  </si>
  <si>
    <t>이화여자대학교산학협력단 (045837)</t>
  </si>
  <si>
    <t>고광석</t>
  </si>
  <si>
    <t>신은빈</t>
  </si>
  <si>
    <t>RS-2022-KH131095</t>
  </si>
  <si>
    <t>백신자급화기술개발 공용활용기술개발 및 지원
[(주관/공동)주관과제] 연세대학교산학협력단 (043251)
[백신 실용화 기술개발]</t>
  </si>
  <si>
    <t>연세대학교산학협력단 (043251)</t>
  </si>
  <si>
    <t>손명현</t>
  </si>
  <si>
    <t>HV 사업단</t>
    <phoneticPr fontId="4" type="noConversion"/>
  </si>
  <si>
    <t>RS-2021-KH120239</t>
  </si>
  <si>
    <t>중증질환자 대상 재택의료 서비스 모델 개발 및 분석
[(주관/공동)주관과제] 서울대학교병원 (038391)
[의료기술 근거생성연구]</t>
  </si>
  <si>
    <t>서울대학교병원 (038391)</t>
  </si>
  <si>
    <t>조비룡</t>
  </si>
  <si>
    <t>HC 사업단</t>
    <phoneticPr fontId="4" type="noConversion"/>
  </si>
  <si>
    <t>RS-2020-KH094707</t>
  </si>
  <si>
    <t>안전하고 효과적인 소아 진정 기술 최적화 연구
[(주관/공동)주관과제] 서울대학교병원 (038391)
[의료기술 근거생성연구]</t>
  </si>
  <si>
    <t>김진태</t>
  </si>
  <si>
    <t>RS-2020-KH094636</t>
  </si>
  <si>
    <t>비파열성 뇌동맥류의 스텐트 도움하 코일색전술 후 이중 항혈소판제 치료의 적정 사용 기간 및 안전성 평가
[(주관/공동)주관과제] 분당서울대학교병원 (038392)
[의료기술 비교평가연구]</t>
  </si>
  <si>
    <t>분당서울대학교병원 (038392)</t>
  </si>
  <si>
    <t>권오기</t>
  </si>
  <si>
    <t>한국보건산업진흥원</t>
  </si>
  <si>
    <t>RS-2025-25443615</t>
  </si>
  <si>
    <t>미생물 유래 원료의 안전성 평가모델 개발
[(주관/공동)주관과제] 서울대학교산학협력단 (038395)
[화장품 성분유형별 안전성 평가모델 개발]</t>
  </si>
  <si>
    <t>서울대학교산학협력단 (038395)</t>
  </si>
  <si>
    <t>이주훈</t>
  </si>
  <si>
    <t>25.08.22 신규배정</t>
    <phoneticPr fontId="4" type="noConversion"/>
  </si>
  <si>
    <t>이전 담당자 없음</t>
  </si>
  <si>
    <t>RS-2025-25455095</t>
  </si>
  <si>
    <t>내 손 안의 뇌건강: 뇌 나이 및 인지예비력 기반 파운데이션 모델과 디지털 치료 플랫폼을 활용한 건강 노화 서비스 개발
[(주관/공동)주관과제] (주)이모코그 (060211)
[임무중심 R&amp;D]</t>
    <phoneticPr fontId="4" type="noConversion"/>
  </si>
  <si>
    <t>(주)이모코그 (060211)</t>
  </si>
  <si>
    <t>이준영</t>
  </si>
  <si>
    <t>25.10.17 신규배정</t>
  </si>
  <si>
    <t>과제상태</t>
    <phoneticPr fontId="4" type="noConversion"/>
  </si>
  <si>
    <t>연구시작일자
(당해)</t>
    <phoneticPr fontId="4" type="noConversion"/>
  </si>
  <si>
    <t>연구종료일자
(당해)</t>
    <phoneticPr fontId="4" type="noConversion"/>
  </si>
  <si>
    <t>과제시작일자
(단계)</t>
    <phoneticPr fontId="4" type="noConversion"/>
  </si>
  <si>
    <t>과제종료일자
(단계)</t>
    <phoneticPr fontId="4" type="noConversion"/>
  </si>
  <si>
    <t>1차
보고일</t>
    <phoneticPr fontId="4" type="noConversion"/>
  </si>
  <si>
    <t>2차
보고일</t>
    <phoneticPr fontId="4" type="noConversion"/>
  </si>
  <si>
    <t>3차
보고일</t>
    <phoneticPr fontId="4" type="noConversion"/>
  </si>
  <si>
    <t>상시보고서 발행기한</t>
    <phoneticPr fontId="4" type="noConversion"/>
  </si>
  <si>
    <t>수행기관등급
(내부평가)</t>
    <phoneticPr fontId="4" type="noConversion"/>
  </si>
  <si>
    <t>기관고유번호</t>
    <phoneticPr fontId="4" type="noConversion"/>
  </si>
  <si>
    <t>총예산</t>
  </si>
  <si>
    <t>집행금액</t>
  </si>
  <si>
    <t>집행잔액</t>
  </si>
  <si>
    <t>기관형태</t>
    <phoneticPr fontId="5" type="noConversion"/>
  </si>
  <si>
    <t>정산진행
상태</t>
    <phoneticPr fontId="5" type="noConversion"/>
  </si>
  <si>
    <t>집행건수</t>
  </si>
  <si>
    <t>미확정</t>
    <phoneticPr fontId="4" type="noConversion"/>
  </si>
  <si>
    <t>보완완료</t>
    <phoneticPr fontId="4" type="noConversion"/>
  </si>
  <si>
    <t>보완요청</t>
    <phoneticPr fontId="4" type="noConversion"/>
  </si>
  <si>
    <t>이행률</t>
    <phoneticPr fontId="4" type="noConversion"/>
  </si>
  <si>
    <t>점검날짜
(마지막)</t>
    <phoneticPr fontId="5" type="noConversion"/>
  </si>
  <si>
    <t>수수료
집행여부</t>
    <phoneticPr fontId="5" type="noConversion"/>
  </si>
  <si>
    <t>전문기관
보고형태</t>
    <phoneticPr fontId="5" type="noConversion"/>
  </si>
  <si>
    <t>기존</t>
    <phoneticPr fontId="4" type="noConversion"/>
  </si>
  <si>
    <t>변경회계사</t>
  </si>
  <si>
    <t>농림식품기술기획평가원</t>
  </si>
  <si>
    <t>국내 다축종(소, 염소) 크립토스포리디움 감염증 예방을 위한 백신 국산화
[(주관/공동)공동과제] (주)바이오앱 (007542)
[동물용의약품국산화]</t>
  </si>
  <si>
    <t>과제종료(당해년도)</t>
  </si>
  <si>
    <t>(007542)</t>
  </si>
  <si>
    <t>민경민</t>
  </si>
  <si>
    <t>공동</t>
  </si>
  <si>
    <t>점검완료</t>
  </si>
  <si>
    <t>국내 다축종(소, 염소) 크립토스포리디움 감염증 예방을 위한 백신 국산화
[(주관/공동)공동과제] 포항공과대학교 산학협력단 (050845)
[동물용의약품국산화]</t>
  </si>
  <si>
    <t>포항공과대학교 산학협력단 (050845)</t>
  </si>
  <si>
    <t>(050845)</t>
  </si>
  <si>
    <t>황인환</t>
  </si>
  <si>
    <t>보완요청</t>
  </si>
  <si>
    <t>(046903)</t>
  </si>
  <si>
    <t>주관</t>
  </si>
  <si>
    <t>국내 다축종(소, 염소) 크립토스포리디움 감염증 예방을 위한 백신 국산화
[(주관/공동)공동과제] 충북대학교 산학협력단 (048766)
[동물용의약품국산화]</t>
  </si>
  <si>
    <t>충북대학교 산학협력단 (048766)</t>
  </si>
  <si>
    <t>(048766)</t>
  </si>
  <si>
    <t>이승헌</t>
  </si>
  <si>
    <t>보완완료</t>
  </si>
  <si>
    <t>국내 다축종(소, 염소) 크립토스포리디움 감염증 예방을 위한 백신 국산화
[(주관/공동)공동과제] 강원대학교 산학협력단 (029692)
[동물용의약품국산화]</t>
  </si>
  <si>
    <t>강원대학교 산학협력단 (029692)</t>
  </si>
  <si>
    <t>(029692)</t>
  </si>
  <si>
    <t>오연수</t>
  </si>
  <si>
    <t>노지 작물 방제 스마트패키지 기술 산업화
[(주관/공동)공동과제] 전남대학교산학협력단 (046820)
[노지스마트 농업표준모델 산업화]</t>
  </si>
  <si>
    <t>전남대학교산학협력단 (046820)</t>
  </si>
  <si>
    <t>(046820)</t>
  </si>
  <si>
    <t>김진영</t>
  </si>
  <si>
    <t>(028972)</t>
  </si>
  <si>
    <t>노지 작물 방제 스마트패키지 기술 산업화
[(주관/공동)공동과제] 주식회사 에이아이시드 (063599)
[노지스마트 농업표준모델 산업화]</t>
  </si>
  <si>
    <t>주식회사 에이아이시드 (063599)</t>
  </si>
  <si>
    <t>(063599)</t>
  </si>
  <si>
    <t>이헌주</t>
  </si>
  <si>
    <t>스마트 온실 인공지능 기반 적정 제어를 위한 온실 에너지 균형 및 작물 생육 시뮬레이션 SW 개발
[(주관/공동)공동과제] 유비엔 (017947)
[차세대 융합 원천]</t>
  </si>
  <si>
    <t>유비엔 (017947)</t>
  </si>
  <si>
    <t>(017947)</t>
  </si>
  <si>
    <t>이브람</t>
  </si>
  <si>
    <t>스마트 온실 인공지능 기반 적정 제어를 위한 온실 에너지 균형 및 작물 생육 시뮬레이션 SW 개발
[(주관/공동)공동과제] 한국과학기술연구원 (051710)
[차세대 융합 원천]</t>
  </si>
  <si>
    <t>한국과학기술연구원 (051710)</t>
  </si>
  <si>
    <t>(051710)</t>
  </si>
  <si>
    <t>김호연</t>
  </si>
  <si>
    <t>S등급</t>
  </si>
  <si>
    <t>(063117)</t>
  </si>
  <si>
    <t>스마트 온실 인공지능 기반 적정 제어를 위한 온실 에너지 균형 및 작물 생육 시뮬레이션 SW 개발
[(주관/공동)공동과제] 주식회사 대동애그테크 (063748)
[차세대 융합 원천]</t>
  </si>
  <si>
    <t>주식회사 대동애그테크 (063748)</t>
  </si>
  <si>
    <t>(063748)</t>
  </si>
  <si>
    <t>윤원호</t>
  </si>
  <si>
    <t>점검중</t>
  </si>
  <si>
    <t>동남아 고온 환경 맞춤형 반려동물 고면역 혈장제제 개발 및 수출전략 수립
[(주관/공동)공동과제] 케이에이비비주식회사 (059622)
[전략품목수출활성화]</t>
  </si>
  <si>
    <t>케이에이비비주식회사 (059622)</t>
  </si>
  <si>
    <t>(059622)</t>
  </si>
  <si>
    <t>이경희</t>
  </si>
  <si>
    <t>(012054)</t>
  </si>
  <si>
    <t>동남아 고온 환경 맞춤형 반려동물 고면역 혈장제제 개발 및 수출전략 수립
[(주관/공동)공동과제] 건국대학교산학협력단 (028796)
[전략품목수출활성화]</t>
  </si>
  <si>
    <t>건국대학교산학협력단 (028796)</t>
  </si>
  <si>
    <t>(028796)</t>
  </si>
  <si>
    <t>박희명</t>
  </si>
  <si>
    <t>N. benthamiana 식물발현 시스템을 이용한 소바이러스설사병 그린 DIVA 백신 개발
[(주관/공동)공동과제] 서울대학교산학협력단 (038395)
[동물용의약품국산화]</t>
  </si>
  <si>
    <t>(038395)</t>
  </si>
  <si>
    <t>송대섭</t>
  </si>
  <si>
    <t>N. benthamiana 식물발현 시스템을 이용한 소바이러스설사병 그린 DIVA 백신 개발
[(주관/공동)위탁과제] 농림축산검역본부 (031078)
[동물용의약품국산화]</t>
  </si>
  <si>
    <t>농림축산검역본부 (031078)</t>
  </si>
  <si>
    <t>(031078)</t>
  </si>
  <si>
    <t>안동준</t>
  </si>
  <si>
    <t>위탁</t>
  </si>
  <si>
    <t>콩 스마트농업 표준모델 종합실증 및 최적화
[(주관/공동)공동과제] 위캔글로벌 주식회사 (044687)
[노지스마트 농업표준모델 산업화]</t>
  </si>
  <si>
    <t>위캔글로벌 주식회사 (044687)</t>
  </si>
  <si>
    <t>(044687)</t>
  </si>
  <si>
    <t>유재은</t>
  </si>
  <si>
    <t>콩 스마트농업 표준모델 종합실증 및 최적화
[(주관/공동)공동과제] 주식회사 티와이엠아이씨티 (059328)
[노지스마트 농업표준모델 산업화]</t>
  </si>
  <si>
    <t>주식회사 티와이엠아이씨티 (059328)</t>
  </si>
  <si>
    <t>(059328)</t>
  </si>
  <si>
    <t>서민열</t>
  </si>
  <si>
    <t>콩 스마트농업 표준모델 종합실증 및 최적화
[(주관/공동)위탁과제] 경북대학교산학협력단 (029065)
[노지스마트 농업표준모델 산업화]</t>
  </si>
  <si>
    <t>경북대학교산학협력단 (029065)</t>
  </si>
  <si>
    <t>(029065)</t>
  </si>
  <si>
    <t>김완수</t>
  </si>
  <si>
    <t>콩 스마트농업 표준모델 종합실증 및 최적화
[(주관/공동)공동과제] 국립순천대학교산학협력단 (039645)
[노지스마트 농업표준모델 산업화]</t>
  </si>
  <si>
    <t>국립순천대학교산학협력단 (039645)</t>
  </si>
  <si>
    <t>(039645)</t>
  </si>
  <si>
    <t>임류갑</t>
  </si>
  <si>
    <t>(019605)</t>
  </si>
  <si>
    <t>콩 스마트농업 표준모델 종합실증 및 최적화
[(주관/공동)공동과제] 전북특별자치도농업기술원 (046868)
[노지스마트 농업표준모델 산업화]</t>
  </si>
  <si>
    <t>전북특별자치도농업기술원 (046868)</t>
  </si>
  <si>
    <t>(046868)</t>
  </si>
  <si>
    <t>강영호</t>
  </si>
  <si>
    <t>국토교통과학기술진흥원</t>
  </si>
  <si>
    <t>국토정보 고도화를 위한 입체격자체계 적용 및 활용 기술개발
[(주관/공동)공동과제] (주)씨엠월드 (011960)
[국토정보고도화를위한입체격자체계적용및활용기술개발]</t>
  </si>
  <si>
    <t>(주)씨엠월드 (011960)</t>
  </si>
  <si>
    <t>(011960)</t>
  </si>
  <si>
    <t>이봉준</t>
  </si>
  <si>
    <t>국토정보 고도화를 위한 입체격자체계 적용 및 활용 기술개발
[(주관/공동)공동과제] 헬리오센 주식회사 (058430)
[국토정보고도화를위한입체격자체계적용및활용기술개발]</t>
  </si>
  <si>
    <t>헬리오센 주식회사 (058430)</t>
  </si>
  <si>
    <t>(058430)</t>
  </si>
  <si>
    <t>이슬기</t>
  </si>
  <si>
    <t>(041550)</t>
  </si>
  <si>
    <t>국토정보 고도화를 위한 입체격자체계 적용 및 활용 기술개발
[(주관/공동)공동과제] 올포랜드 (043912)
[국토정보고도화를위한입체격자체계적용및활용기술개발]</t>
  </si>
  <si>
    <t>올포랜드 (043912)</t>
  </si>
  <si>
    <t>(043912)</t>
  </si>
  <si>
    <t>김장욱</t>
  </si>
  <si>
    <t>국토정보 고도화를 위한 입체격자체계 적용 및 활용 기술개발
[(주관/공동)공동과제] 서울시립대학교산학협력단 (038468)
[국토정보고도화를위한입체격자체계적용및활용기술개발]</t>
  </si>
  <si>
    <t>서울시립대학교산학협력단 (038468)</t>
  </si>
  <si>
    <t>(038468)</t>
  </si>
  <si>
    <t>이지영</t>
  </si>
  <si>
    <t>국토정보 고도화를 위한 입체격자체계 적용 및 활용 기술개발
[(주관/공동)공동과제] 공간정보산업진흥원 (029419)
[국토정보고도화를위한입체격자체계적용및활용기술개발]</t>
  </si>
  <si>
    <t>공간정보산업진흥원 (029419)</t>
  </si>
  <si>
    <t>(029419)</t>
  </si>
  <si>
    <t>이승수</t>
  </si>
  <si>
    <t>국토정보 고도화를 위한 입체격자체계 적용 및 활용 기술개발
[(주관/공동)공동과제] 포도 (024767)
[국토정보고도화를위한입체격자체계적용및활용기술개발]</t>
  </si>
  <si>
    <t>포도 (024767)</t>
  </si>
  <si>
    <t>(024767)</t>
  </si>
  <si>
    <t>최장범</t>
  </si>
  <si>
    <t>국토정보 고도화를 위한 입체격자체계 적용 및 활용 기술개발
[(주관/공동)공동과제] 한국국토정보공사 공간정보연구원 (051792)
[국토정보고도화를위한입체격자체계적용및활용기술개발]</t>
  </si>
  <si>
    <t>한국국토정보공사 공간정보연구원 (051792)</t>
  </si>
  <si>
    <t>(051792)</t>
  </si>
  <si>
    <t>연성현</t>
  </si>
  <si>
    <t>국토정보 고도화를 위한 입체격자체계 적용 및 활용 기술개발
[(주관/공동)공동과제] 아이씨티웨이주식회사 (041128)
[국토정보고도화를위한입체격자체계적용및활용기술개발]</t>
  </si>
  <si>
    <t>아이씨티웨이주식회사 (041128)</t>
  </si>
  <si>
    <t>(041128)</t>
  </si>
  <si>
    <t>김상수</t>
  </si>
  <si>
    <t>국토정보 고도화를 위한 입체격자체계 적용 및 활용 기술개발
[(주관/공동)공동과제] 웨이버스 (059782)
[국토정보고도화를위한입체격자체계적용및활용기술개발]</t>
  </si>
  <si>
    <t>웨이버스 (059782)</t>
  </si>
  <si>
    <t>(059782)</t>
  </si>
  <si>
    <t>김민철</t>
  </si>
  <si>
    <t>국토정보 고도화를 위한 입체격자체계 적용 및 활용 기술개발
[(주관/공동)공동과제] 한국건설기술연구원 (051621)
[국토정보고도화를위한입체격자체계적용및활용기술개발]</t>
  </si>
  <si>
    <t>한국건설기술연구원 (051621)</t>
  </si>
  <si>
    <t>(051621)</t>
  </si>
  <si>
    <t>장용구</t>
  </si>
  <si>
    <t>국토정보 고도화를 위한 입체격자체계 적용 및 활용 기술개발
[(주관/공동)공동과제] 한국전자통신연구원 (052834)
[국토정보고도화를위한입체격자체계적용및활용기술개발]</t>
  </si>
  <si>
    <t>한국전자통신연구원 (052834)</t>
  </si>
  <si>
    <t>(052834)</t>
  </si>
  <si>
    <t>김광수</t>
  </si>
  <si>
    <t>국토정보 고도화를 위한 입체격자체계 적용 및 활용 기술개발
[(주관/공동)공동과제] 국토연구원 (029875)
[국토정보고도화를위한입체격자체계적용및활용기술개발]</t>
  </si>
  <si>
    <t>국토연구원 (029875)</t>
  </si>
  <si>
    <t>(029875)</t>
  </si>
  <si>
    <t>임시영</t>
  </si>
  <si>
    <t>점검전</t>
  </si>
  <si>
    <t>-</t>
  </si>
  <si>
    <t>국토정보 고도화를 위한 입체격자체계 적용 및 활용 기술개발
[(주관/공동)공동과제] 주식회사 지오스토리 (021148)
[국토정보고도화를위한입체격자체계적용및활용기술개발]</t>
  </si>
  <si>
    <t>주식회사 지오스토리 (021148)</t>
  </si>
  <si>
    <t>(021148)</t>
  </si>
  <si>
    <t>위광재</t>
  </si>
  <si>
    <t>국토정보 고도화를 위한 입체격자체계 적용 및 활용 기술개발
[(주관/공동)공동과제] 가이아쓰리디(주) (028549)
[국토정보고도화를위한입체격자체계적용및활용기술개발]</t>
  </si>
  <si>
    <t>가이아쓰리디(주) (028549)</t>
  </si>
  <si>
    <t>(028549)</t>
  </si>
  <si>
    <t>김학준</t>
  </si>
  <si>
    <t>국토교통 데이터 산업 활성화를 위한 생애주기별 기반환경 조성 및 실증서비스 개발
[(주관/공동)공동과제] 주식회사 파수 (050500)
[국토교통 데이터 산업 생태계 플랫폼 구축]</t>
  </si>
  <si>
    <t>주식회사 파수 (050500)</t>
  </si>
  <si>
    <t>(050500)</t>
  </si>
  <si>
    <t>윤경구</t>
  </si>
  <si>
    <t>국토교통 데이터 산업 활성화를 위한 생애주기별 기반환경 조성 및 실증서비스 개발
[(주관/공동)공동과제] 오케스트로 (043778)
[국토교통 데이터 산업 생태계 플랫폼 구축]</t>
  </si>
  <si>
    <t>오케스트로 (043778)</t>
  </si>
  <si>
    <t>(043778)</t>
  </si>
  <si>
    <t>윤호영</t>
    <phoneticPr fontId="4" type="noConversion"/>
  </si>
  <si>
    <t>원중희-&gt;윤호영 총책변경</t>
    <phoneticPr fontId="4" type="noConversion"/>
  </si>
  <si>
    <t>국토교통 데이터 산업 활성화를 위한 생애주기별 기반환경 조성 및 실증서비스 개발
[(주관/공동)공동과제] (주)보아라 (007969)
[국토교통 데이터 산업 생태계 플랫폼 구축]</t>
  </si>
  <si>
    <t>(주)보아라 (007969)</t>
  </si>
  <si>
    <t>(007969)</t>
  </si>
  <si>
    <t>이원석</t>
  </si>
  <si>
    <t>국토교통 데이터 산업 활성화를 위한 생애주기별 기반환경 조성 및 실증서비스 개발
[(주관/공동)공동과제] 삼정회계법인 (037929)
[국토교통 데이터 산업 생태계 플랫폼 구축]</t>
  </si>
  <si>
    <t>삼정회계법인 (037929)</t>
  </si>
  <si>
    <t>(037929)</t>
  </si>
  <si>
    <t>서정대</t>
    <phoneticPr fontId="4" type="noConversion"/>
  </si>
  <si>
    <t>박문구 -&gt; 서정대 총책변경</t>
    <phoneticPr fontId="4" type="noConversion"/>
  </si>
  <si>
    <t>국토교통 데이터 산업 활성화를 위한 생애주기별 기반환경 조성 및 실증서비스 개발
[(주관/공동)공동과제] 한국교통연구원 (051767)
[국토교통 데이터 산업 생태계 플랫폼 구축]</t>
  </si>
  <si>
    <t>한국교통연구원 (051767)</t>
  </si>
  <si>
    <t>(051767)</t>
  </si>
  <si>
    <t>천승훈</t>
  </si>
  <si>
    <t>국토교통 데이터 산업 활성화를 위한 생애주기별 기반환경 조성 및 실증서비스 개발
[(주관/공동)공동과제] 한국전자기술연구원 (046922)
[국토교통 데이터 산업 생태계 플랫폼 구축]</t>
  </si>
  <si>
    <t>한국전자기술연구원 (046922)</t>
  </si>
  <si>
    <t>(046922)</t>
  </si>
  <si>
    <t>최효섭</t>
  </si>
  <si>
    <t>국토교통 데이터 산업 활성화를 위한 생애주기별 기반환경 조성 및 실증서비스 개발
[(주관/공동)공동과제] 주식회사엑셈 (015093)
[국토교통 데이터 산업 생태계 플랫폼 구축]</t>
  </si>
  <si>
    <t>주식회사엑셈 (015093)</t>
  </si>
  <si>
    <t>(015093)</t>
  </si>
  <si>
    <t>전영민</t>
  </si>
  <si>
    <t>국토교통 데이터 산업 활성화를 위한 생애주기별 기반환경 조성 및 실증서비스 개발
[(주관/공동)공동과제] 건국대학교산학협력단 (028796)
[국토교통 데이터 산업 생태계 플랫폼 구축]</t>
  </si>
  <si>
    <t>김지영</t>
  </si>
  <si>
    <t>국토교통 데이터 산업 활성화를 위한 생애주기별 기반환경 조성 및 실증서비스 개발
[(주관/공동)공동과제] 토피도(주) (050158)
[국토교통 데이터 산업 생태계 플랫폼 구축]</t>
  </si>
  <si>
    <t>토피도(주) (050158)</t>
  </si>
  <si>
    <t>(050158)</t>
  </si>
  <si>
    <t>배영준</t>
  </si>
  <si>
    <t>국토교통 데이터 산업 활성화를 위한 생애주기별 기반환경 조성 및 실증서비스 개발
[(주관/공동)공동과제] 주식회사한스네트워크 (059377)
[국토교통 데이터 산업 생태계 플랫폼 구축]</t>
  </si>
  <si>
    <t>주식회사한스네트워크 (059377)</t>
  </si>
  <si>
    <t>(059377)</t>
  </si>
  <si>
    <t>김용현</t>
  </si>
  <si>
    <t>국토교통 데이터 산업 활성화를 위한 생애주기별 기반환경 조성 및 실증서비스 개발
[(주관/공동)공동과제] 한국법제연구원 (052147)
[국토교통 데이터 산업 생태계 플랫폼 구축]</t>
  </si>
  <si>
    <t>한국법제연구원 (052147)</t>
  </si>
  <si>
    <t>(052147)</t>
  </si>
  <si>
    <t>정원준</t>
    <phoneticPr fontId="4" type="noConversion"/>
  </si>
  <si>
    <t>이유봉 -&gt; 정원준 총책변경</t>
    <phoneticPr fontId="4" type="noConversion"/>
  </si>
  <si>
    <t>국토교통 데이터 산업 활성화를 위한 생애주기별 기반환경 조성 및 실증서비스 개발
[(주관/공동)공동과제] (주)모비젠 (006886)
[국토교통 데이터 산업 생태계 플랫폼 구축]</t>
  </si>
  <si>
    <t>(주)모비젠 (006886)</t>
  </si>
  <si>
    <t>(006886)</t>
  </si>
  <si>
    <t>김대호</t>
  </si>
  <si>
    <t>국토교통 데이터 산업 활성화를 위한 생애주기별 기반환경 조성 및 실증서비스 개발
[(주관/공동)공동과제] 한국전자통신연구원 (052834)
[국토교통 데이터 산업 생태계 플랫폼 구축]</t>
  </si>
  <si>
    <t>김원영</t>
  </si>
  <si>
    <t>국토교통 데이터 산업 활성화를 위한 생애주기별 기반환경 조성 및 실증서비스 개발
[(주관/공동)공동과제] 크립토랩 (056057)
[국토교통 데이터 산업 생태계 플랫폼 구축]</t>
  </si>
  <si>
    <t>크립토랩 (056057)</t>
  </si>
  <si>
    <t>(056057)</t>
  </si>
  <si>
    <t>어수행</t>
    <phoneticPr fontId="4" type="noConversion"/>
  </si>
  <si>
    <t>신성철 -&gt; 어수행 총책변경</t>
    <phoneticPr fontId="4" type="noConversion"/>
  </si>
  <si>
    <t>국토교통 데이터 산업 활성화를 위한 생애주기별 기반환경 조성 및 실증서비스 개발
[(주관/공동)공동과제] 펜타시큐리티(주) (050686)
[국토교통 데이터 산업 생태계 플랫폼 구축]</t>
  </si>
  <si>
    <t>펜타시큐리티(주) (050686)</t>
  </si>
  <si>
    <t>(050686)</t>
  </si>
  <si>
    <t>박광근</t>
  </si>
  <si>
    <t>국토교통 데이터 산업 활성화를 위한 생애주기별 기반환경 조성 및 실증서비스 개발
[(주관/공동)공동과제] 한국교통안전공단 (051766)
[국토교통 데이터 산업 생태계 플랫폼 구축]</t>
  </si>
  <si>
    <t>한국교통안전공단 (051766)</t>
  </si>
  <si>
    <t>(051766)</t>
  </si>
  <si>
    <t>이호상</t>
  </si>
  <si>
    <t>국토교통 데이터 산업 활성화를 위한 생애주기별 기반환경 조성 및 실증서비스 개발
[(주관/공동)공동과제] (주)큐빅웨어 (023034)
[국토교통 데이터 산업 생태계 플랫폼 구축]</t>
  </si>
  <si>
    <t>(주)큐빅웨어 (023034)</t>
  </si>
  <si>
    <t>(023034)</t>
  </si>
  <si>
    <t>정수호</t>
  </si>
  <si>
    <t>국토교통 데이터 산업 활성화를 위한 생애주기별 기반환경 조성 및 실증서비스 개발
[(주관/공동)공동과제] 아우토크립트(주) (056431)
[국토교통 데이터 산업 생태계 플랫폼 구축]</t>
  </si>
  <si>
    <t>아우토크립트(주) (056431)</t>
  </si>
  <si>
    <t>(056431)</t>
  </si>
  <si>
    <t>안지회</t>
    <phoneticPr fontId="4" type="noConversion"/>
  </si>
  <si>
    <t>고동훈 -&gt; 안지회 총책변경</t>
    <phoneticPr fontId="4" type="noConversion"/>
  </si>
  <si>
    <t>국토교통 데이터 산업 활성화를 위한 생애주기별 기반환경 조성 및 실증서비스 개발
[(주관/공동)공동과제] 네트렉 주식회사 (059928)
[국토교통 데이터 산업 생태계 플랫폼 구축]</t>
  </si>
  <si>
    <t>네트렉 주식회사 (059928)</t>
  </si>
  <si>
    <t>(059928)</t>
  </si>
  <si>
    <t>장현호</t>
  </si>
  <si>
    <t>국토교통 데이터 산업 활성화를 위한 생애주기별 기반환경 조성 및 실증서비스 개발
[(주관/공동)공동과제] (주)케이씨에이 (026241)
[국토교통 데이터 산업 생태계 플랫폼 구축]</t>
  </si>
  <si>
    <t>(주)케이씨에이 (026241)</t>
  </si>
  <si>
    <t>(026241)</t>
  </si>
  <si>
    <t>최교순</t>
  </si>
  <si>
    <t>국토교통 데이터 산업 활성화를 위한 생애주기별 기반환경 조성 및 실증서비스 개발
[(주관/공동)공동과제] 프리다임 (059925)
[국토교통 데이터 산업 생태계 플랫폼 구축]</t>
  </si>
  <si>
    <t>프리다임 (059925)</t>
  </si>
  <si>
    <t>(059925)</t>
  </si>
  <si>
    <t>김유진</t>
  </si>
  <si>
    <t>국토교통 데이터 산업 활성화를 위한 생애주기별 기반환경 조성 및 실증서비스 개발
[(주관/공동)공동과제] 한국국토정보공사 (051791)
[국토교통 데이터 산업 생태계 플랫폼 구축]</t>
  </si>
  <si>
    <t>한국국토정보공사 (051791)</t>
  </si>
  <si>
    <t>(051791)</t>
  </si>
  <si>
    <t>김명진</t>
    <phoneticPr fontId="4" type="noConversion"/>
  </si>
  <si>
    <t>최동훈 -&gt; 김명진 총책변경</t>
    <phoneticPr fontId="4" type="noConversion"/>
  </si>
  <si>
    <t>(051937)</t>
  </si>
  <si>
    <t>국토교통 데이터 산업 활성화를 위한 생애주기별 기반환경 조성 및 실증서비스 개발
[(주관/공동)공동과제] 공간정보산업진흥원 (029419)
[국토교통 데이터 산업 생태계 플랫폼 구축]</t>
  </si>
  <si>
    <t>박두열</t>
  </si>
  <si>
    <t>국토교통 데이터 산업 활성화를 위한 생애주기별 기반환경 조성 및 실증서비스 개발
[(주관/공동)공동과제] (주)유아이네트웍스 (018046)
[국토교통 데이터 산업 생태계 플랫폼 구축]</t>
  </si>
  <si>
    <t>(주)유아이네트웍스 (018046)</t>
  </si>
  <si>
    <t>(018046)</t>
  </si>
  <si>
    <t>전용현</t>
  </si>
  <si>
    <t>국토교통 데이터 산업 활성화를 위한 생애주기별 기반환경 조성 및 실증서비스 개발
[(주관/공동)공동과제] 주식회사 모토브 (057475)
[국토교통 데이터 산업 생태계 플랫폼 구축]</t>
  </si>
  <si>
    <t>주식회사 모토브 (057475)</t>
  </si>
  <si>
    <t>(057475)</t>
  </si>
  <si>
    <t>김성훈</t>
  </si>
  <si>
    <t>(059519)</t>
  </si>
  <si>
    <t>자가면역 난치성질환인 다발성근염 또는 피부근염 환자 대상 PN-101의 제1/2a상 임상시험
[(주관/공동)공동과제] 서울대학교병원 (038391)
[재생의료 치료제 치료기술 개발]</t>
  </si>
  <si>
    <t>(038391)</t>
  </si>
  <si>
    <t>이은영</t>
  </si>
  <si>
    <t>(061163)</t>
  </si>
  <si>
    <t>분화와 교차분화 작용기전을 활용한 고순도, 고기능성 척수 운동신경 전구세포 확보기술 개발
[(주관/공동)공동과제] (재)오송첨단의료산업진흥재단 (043730)
[재생의료 원천기술 개발]</t>
  </si>
  <si>
    <t>(재)오송첨단의료산업진흥재단 (043730)</t>
  </si>
  <si>
    <t>(043730)</t>
  </si>
  <si>
    <t>이민영</t>
  </si>
  <si>
    <t>(029285)</t>
  </si>
  <si>
    <t>탈수초화 질환 세포치료제 개발을 위한 희소돌기아교전구세포 생산 기술의 고도화
[(주관/공동)공동과제] 중앙대학교산학협력단 (047739)
[재생의료 원천기술 개발]</t>
  </si>
  <si>
    <t>(047739)</t>
  </si>
  <si>
    <t>이승환</t>
  </si>
  <si>
    <t>(028566)</t>
  </si>
  <si>
    <t>인슐린 의존형 당뇨병 치료를 위한 동종 지방 줄기세포와 췌도세포로 구성된 다층 세포시트의 유효성 및 안전성에 대한 연구
[(주관/공동)공동과제] (주)타스컴 (018498)
[재생의료 연계기술 개발(2)]</t>
  </si>
  <si>
    <t>(주)타스컴 (018498)</t>
  </si>
  <si>
    <t>(018498)</t>
  </si>
  <si>
    <t>민병훈</t>
  </si>
  <si>
    <t>(038491)</t>
  </si>
  <si>
    <t>21A0403L1-22</t>
  </si>
  <si>
    <t>상용화 역분화줄기세포 유래 심실 (Ventricle) 심근세포 생산 기술 개발 및 제품화
[단위과제] 주식회사 티앤알바이오팹 (024133)
[재생의료원천기술개발사업]</t>
  </si>
  <si>
    <t>주식회사 티앤알바이오팹 (024133)</t>
  </si>
  <si>
    <t>(024133)</t>
  </si>
  <si>
    <t>(024237)</t>
  </si>
  <si>
    <t>(046591)</t>
  </si>
  <si>
    <t>(058786)</t>
  </si>
  <si>
    <t>12.4 신규배정</t>
    <phoneticPr fontId="4" type="noConversion"/>
  </si>
  <si>
    <t>주식회사 엔비사이언스 (060705)</t>
  </si>
  <si>
    <t>(060705)</t>
  </si>
  <si>
    <t>NOTCH1 억제 작용기전의 NB-101 근감소증 치료제 후보물질 도출
[(주관/공동)위탁과제] 충남대학교산학협력단 (048738)
[신약 R&amp;D 생태계 구축 연구]</t>
  </si>
  <si>
    <t>충남대학교산학협력단 (048738)</t>
  </si>
  <si>
    <t>(048738)</t>
  </si>
  <si>
    <t>김태원</t>
  </si>
  <si>
    <t>수행중</t>
  </si>
  <si>
    <t>비전이성 전립선암 환자들을 위한 최적의 치료 선택법 제시 : 수술 과 방사선 치료의 장기간 포괄적 효과 비교를 통한 근거 생성 연구
[(주관/공동)공동과제] 이화여자대학교산학협력단 (045837)
[의료기술 비교평가연구]</t>
  </si>
  <si>
    <t>(045837)</t>
  </si>
  <si>
    <t>안정훈</t>
  </si>
  <si>
    <t>초고효율 유전체편집-항암바이러스 기술 융합 개인 맞춤형 암 치료제 개발 및 임상 최적화 연구
[(주관/공동)공동과제] 한양대학교산학협력단 (053775)
[유전자, RNA 및 후성유전체 편집·제어기술 기반의 유전자 치료제 임상 최적화 연구]</t>
  </si>
  <si>
    <t>한양대학교산학협력단 (053775)</t>
  </si>
  <si>
    <t>(053775)</t>
  </si>
  <si>
    <t>윤아름</t>
  </si>
  <si>
    <t>초고효율 유전체편집-항암바이러스 기술 융합 개인 맞춤형 암 치료제 개발 및 임상 최적화 연구
[(주관/공동)공동과제] 진메디신 주식회사 (048142)
[유전자, RNA 및 후성유전체 편집·제어기술 기반의 유전자 치료제 임상 최적화 연구]</t>
  </si>
  <si>
    <t>진메디신 주식회사 (048142)</t>
  </si>
  <si>
    <t>(048142)</t>
  </si>
  <si>
    <t>안중언</t>
  </si>
  <si>
    <t>(051711)</t>
  </si>
  <si>
    <t>불응성 암악액질 치료용 GFRAL 표적 항체-올리고 중합체 개발
[(주관/공동)공동과제] 주식회사 토르 테라퓨틱스 (064011)
[유전자, RNA 및 후성유전체 편집·제어기술 기반의 유전자 치료제 임상 최적화 연구]</t>
  </si>
  <si>
    <t>주식회사 토르 테라퓨틱스 (064011)</t>
  </si>
  <si>
    <t>(064011)</t>
  </si>
  <si>
    <t>송민호</t>
  </si>
  <si>
    <t>별도 운영지침 참고</t>
    <phoneticPr fontId="4" type="noConversion"/>
  </si>
  <si>
    <t>(036420)</t>
  </si>
  <si>
    <t>(032087)</t>
  </si>
  <si>
    <t>요양병원 뇌신경질환 한의치료기술 근거합성
[(주관/공동)공동과제] 한국한의학연구원 (053301)
[국가한의임상연구]</t>
  </si>
  <si>
    <t>한국한의학연구원 (053301)</t>
  </si>
  <si>
    <t>(053301)</t>
  </si>
  <si>
    <t>고미미</t>
  </si>
  <si>
    <t>(063426)</t>
  </si>
  <si>
    <t>(043325)</t>
  </si>
  <si>
    <t>(029226)</t>
  </si>
  <si>
    <t>(062394)</t>
  </si>
  <si>
    <t>미세아교세포 타겟 펩타이드 (KINE-101)를 이용한 알츠하이머 질환 치료제 개발
[(주관/공동)위탁과제] 숙명여자대학교산학협력단 (039628)
[예방 및 치료기술 개발]</t>
  </si>
  <si>
    <t>숙명여자대학교산학협력단 (039628)</t>
  </si>
  <si>
    <t>(039628)</t>
  </si>
  <si>
    <t>박수철</t>
  </si>
  <si>
    <t>신규 항원설계에 기반한 개선된 효능을 보이는 뎅기열 다가백신 비임상 개발
[(주관/공동)공동과제] 전북대학교산학협력단 (046903)
[백신 자급화 기술개발]</t>
  </si>
  <si>
    <t>장용석</t>
  </si>
  <si>
    <t>신규 항원설계에 기반한 개선된 효능을 보이는 뎅기열 다가백신 비임상 개발
[(주관/공동)위탁과제] 에스티팜 주식회사 반월공장 (063496)
[백신 자급화 기술개발]</t>
  </si>
  <si>
    <t>에스티팜 주식회사 반월공장 (063496)</t>
  </si>
  <si>
    <t>(063496)</t>
  </si>
  <si>
    <t>이주영</t>
  </si>
  <si>
    <t>(062395)</t>
  </si>
  <si>
    <t>임상시험 데이터 표준모델 개발을 통한 데이터 기반 임상시험 설계 플랫폼 개발 및 고도화
[(주관/공동)공동과제] 주식회사 카카오헬스케어 (059654)
[질환별 임상시험 관련 데이터 표준화 및 적용]</t>
  </si>
  <si>
    <t>주식회사 카카오헬스케어 (059654)</t>
  </si>
  <si>
    <t>(059654)</t>
  </si>
  <si>
    <t>제갈한철</t>
    <phoneticPr fontId="4" type="noConversion"/>
  </si>
  <si>
    <t>조용현-&gt;제갈한철 총책변경</t>
    <phoneticPr fontId="4" type="noConversion"/>
  </si>
  <si>
    <t>임상시험 데이터 표준모델 개발을 통한 데이터 기반 임상시험 설계 플랫폼 개발 및 고도화
[(주관/공동)공동과제] 화순전남대학교병원 (054635)
[질환별 임상시험 관련 데이터 표준화 및 적용]</t>
  </si>
  <si>
    <t>화순전남대학교병원 (054635)</t>
  </si>
  <si>
    <t>(054635)</t>
  </si>
  <si>
    <t>김창현</t>
  </si>
  <si>
    <t>임상시험 데이터 표준모델 개발을 통한 데이터 기반 임상시험 설계 플랫폼 개발 및 고도화
[(주관/공동)공동과제] 성균관대학교산학협력단 (038811)
[질환별 임상시험 관련 데이터 표준화 및 적용]</t>
  </si>
  <si>
    <t>성균관대학교산학협력단 (038811)</t>
  </si>
  <si>
    <t>(038811)</t>
  </si>
  <si>
    <t>신주영</t>
  </si>
  <si>
    <t>임상시험 데이터 표준모델 개발을 통한 데이터 기반 임상시험 설계 플랫폼 개발 및 고도화
[(주관/공동)공동과제] (주)씨엔알리서치 (059774)
[질환별 임상시험 관련 데이터 표준화 및 적용]</t>
  </si>
  <si>
    <t>(주)씨엔알리서치 (059774)</t>
  </si>
  <si>
    <t>(059774)</t>
  </si>
  <si>
    <t>윤병선</t>
  </si>
  <si>
    <t>임상시험 데이터 표준모델 개발을 통한 데이터 기반 임상시험 설계 플랫폼 개발 및 고도화
[(주관/공동)공동과제] 계명대학교동산의료원 (033360)
[질환별 임상시험 관련 데이터 표준화 및 적용]</t>
  </si>
  <si>
    <t>계명대학교동산의료원 (033360)</t>
  </si>
  <si>
    <t>(033360)</t>
  </si>
  <si>
    <t>이경재</t>
  </si>
  <si>
    <t>임상시험 데이터 표준모델 개발을 통한 데이터 기반 임상시험 설계 플랫폼 개발 및 고도화
[(주관/공동)공동과제] 가톨릭대학교산학협력단 (028566)
[질환별 임상시험 관련 데이터 표준화 및 적용]</t>
  </si>
  <si>
    <t>한성필</t>
  </si>
  <si>
    <t>(029228)</t>
  </si>
  <si>
    <t>임상시험 데이터 표준모델 개발을 통한 데이터 기반 임상시험 설계 플랫폼 개발 및 고도화
[(주관/공동)공동과제] 이화의대부속목동병원 (045839)
[질환별 임상시험 관련 데이터 표준화 및 적용]</t>
  </si>
  <si>
    <t>이화의대부속목동병원 (045839)</t>
  </si>
  <si>
    <t>(045839)</t>
  </si>
  <si>
    <t>조도상</t>
  </si>
  <si>
    <t>첨단바이오분야 초기 임상시험 관련 기술 개발
[(주관/공동)공동과제] 고려대학교산학협력단 (029285)
[첨단바이오 분야 등 임상시험 기술개발]</t>
  </si>
  <si>
    <t>강가원</t>
  </si>
  <si>
    <t>첨단바이오분야 초기 임상시험 관련 기술 개발
[(주관/공동)공동과제] 입셀 (060355)
[첨단바이오 분야 등 임상시험 기술개발]</t>
  </si>
  <si>
    <t>입셀 (060355)</t>
  </si>
  <si>
    <t>(060355)</t>
  </si>
  <si>
    <t>김주련</t>
  </si>
  <si>
    <t>첨단바이오분야 초기 임상시험 관련 기술 개발
[(주관/공동)공동과제] 연세대학교산학협력단 (043251)
[첨단바이오 분야 등 임상시험 기술개발]</t>
  </si>
  <si>
    <t>(043251)</t>
  </si>
  <si>
    <t>박민수</t>
  </si>
  <si>
    <t>첨단바이오분야 초기 임상시험 관련 기술 개발
[(주관/공동)공동과제] 주식회사 세라트젠 (061872)
[첨단바이오 분야 등 임상시험 기술개발]</t>
  </si>
  <si>
    <t>주식회사 세라트젠 (061872)</t>
  </si>
  <si>
    <t>(061872)</t>
  </si>
  <si>
    <t>박영섭</t>
  </si>
  <si>
    <t>첨단바이오분야 초기 임상시험 관련 기술 개발
[(주관/공동)공동과제] 지놈앤컴퍼니 (020836)
[첨단바이오 분야 등 임상시험 기술개발]</t>
  </si>
  <si>
    <t>지놈앤컴퍼니 (020836)</t>
  </si>
  <si>
    <t>(020836)</t>
  </si>
  <si>
    <t>김혜림</t>
  </si>
  <si>
    <t>첨단바이오분야 초기 임상시험 관련 기술 개발
[(주관/공동)공동과제] (주)애임스바이오사이언스 (061160)
[첨단바이오 분야 등 임상시험 기술개발]</t>
  </si>
  <si>
    <t>(주)애임스바이오사이언스 (061160)</t>
  </si>
  <si>
    <t>(061160)</t>
  </si>
  <si>
    <t>임동석</t>
  </si>
  <si>
    <t>기능성 원료 등 중복/병용 섭취 안전성 예측 기술 개발 적용
[(주관/공동)공동과제] (주)인실리코젠 (019369)
[빅데이터 기반 건강기능식품 등 적정 섭취 기반 구축]</t>
  </si>
  <si>
    <t>(주)인실리코젠 (019369)</t>
  </si>
  <si>
    <t>(019369)</t>
  </si>
  <si>
    <t>신가희</t>
  </si>
  <si>
    <t>기능성 원료 등 중복/병용 섭취 안전성 예측 기술 개발 적용
[(주관/공동)공동과제] 동국대학교산학협력단 (033226)
[빅데이터 기반 건강기능식품 등 적정 섭취 기반 구축]</t>
  </si>
  <si>
    <t>동국대학교산학협력단 (033226)</t>
  </si>
  <si>
    <t>(033226)</t>
  </si>
  <si>
    <t>이석희</t>
  </si>
  <si>
    <t>(038392)</t>
  </si>
  <si>
    <t>미생물 유래 원료의 안전성 평가모델 개발
[(주관/공동)공동과제] 세종대학교산학협력단 (039207)
[화장품 성분유형별 안전성 평가모델 개발]</t>
  </si>
  <si>
    <t>세종대학교산학협력단 (039207)</t>
  </si>
  <si>
    <t>(039207)</t>
  </si>
  <si>
    <t>임태규</t>
  </si>
  <si>
    <t>8.22 신규</t>
    <phoneticPr fontId="4" type="noConversion"/>
  </si>
  <si>
    <t>내 손 안의 뇌건강: 뇌 나이 및 인지예비력 기반 파운데이션 모델과 디지털 치료 플랫폼을 활용한 건강 노화 서비스 개발
[(주관/공동)공동과제] 가톨릭대학교산학협력단 (028566)
[임무중심 R&amp;D]</t>
  </si>
  <si>
    <t>임현국</t>
  </si>
  <si>
    <t>이정승</t>
    <phoneticPr fontId="4" type="noConversion"/>
  </si>
  <si>
    <t>10.17 신규</t>
    <phoneticPr fontId="4" type="noConversion"/>
  </si>
  <si>
    <t>내 손 안의 뇌건강: 뇌 나이 및 인지예비력 기반 파운데이션 모델과 디지털 치료 플랫폼을 활용한 건강 노화 서비스 개발
[(주관/공동)공동과제] 주식회사 에버트라이 (061900)
[임무중심 R&amp;D]</t>
  </si>
  <si>
    <t>주식회사 에버트라이 (061900)</t>
  </si>
  <si>
    <t>(061900)</t>
  </si>
  <si>
    <t>신재용</t>
  </si>
  <si>
    <t>내 손 안의 뇌건강: 뇌 나이 및 인지예비력 기반 파운데이션 모델과 디지털 치료 플랫폼을 활용한 건강 노화 서비스 개발
[(주관/공동)공동과제] 순천향대학교산학협력단 (039659)
[임무중심 R&amp;D]</t>
  </si>
  <si>
    <t>순천향대학교산학협력단 (039659)</t>
  </si>
  <si>
    <t>(039659)</t>
  </si>
  <si>
    <t>이혜원</t>
  </si>
  <si>
    <t>내 손 안의 뇌건강: 뇌 나이 및 인지예비력 기반 파운데이션 모델과 디지털 치료 플랫폼을 활용한 건강 노화 서비스 개발
[(주관/공동)공동과제] 연세대학교산학협력단 (043251)
[임무중심 R&amp;D]</t>
  </si>
  <si>
    <t>김어수</t>
  </si>
  <si>
    <t>내 손 안의 뇌건강: 뇌 나이 및 인지예비력 기반 파운데이션 모델과 디지털 치료 플랫폼을 활용한 건강 노화 서비스 개발
[(주관/공동)주관과제] (주)이모코그 (060211)
[임무중심 R&amp;D]</t>
  </si>
  <si>
    <t>(060211)</t>
  </si>
  <si>
    <t>내 손 안의 뇌건강: 뇌 나이 및 인지예비력 기반 파운데이션 모델과 디지털 치료 플랫폼을 활용한 건강 노화 서비스 개발
[(주관/공동)공동과제] 한국과학기술원 (051711)
[임무중심 R&amp;D]</t>
  </si>
  <si>
    <t>정재승</t>
  </si>
  <si>
    <t>내 손 안의 뇌건강: 뇌 나이 및 인지예비력 기반 파운데이션 모델과 디지털 치료 플랫폼을 활용한 건강 노화 서비스 개발
[(주관/공동)위탁과제] 성균관대학교산학협력단 (038811)
[임무중심 R&amp;D]</t>
  </si>
  <si>
    <t>원홍희</t>
  </si>
  <si>
    <t>내 손 안의 뇌건강: 뇌 나이 및 인지예비력 기반 파운데이션 모델과 디지털 치료 플랫폼을 활용한 건강 노화 서비스 개발
[(주관/공동)공동과제] 아주대학교산학협력단 (041358)
[임무중심 R&amp;D]</t>
  </si>
  <si>
    <t>아주대학교산학협력단 (041358)</t>
  </si>
  <si>
    <t>(041358)</t>
  </si>
  <si>
    <t>손상준</t>
  </si>
  <si>
    <t>내 손 안의 뇌건강: 뇌 나이 및 인지예비력 기반 파운데이션 모델과 디지털 치료 플랫폼을 활용한 건강 노화 서비스 개발
[(주관/공동)공동과제] (재)대구경북첨단의료산업진흥재단 (032036)
[임무중심 R&amp;D]</t>
  </si>
  <si>
    <t>(재)대구경북첨단의료산업진흥재단 (032036)</t>
  </si>
  <si>
    <t>(032036)</t>
  </si>
  <si>
    <t>최종률</t>
  </si>
  <si>
    <t>내 손 안의 뇌건강: 뇌 나이 및 인지예비력 기반 파운데이션 모델과 디지털 치료 플랫폼을 활용한 건강 노화 서비스 개발
[(주관/공동)공동과제] 서울대학교산학협력단 (038395)
[임무중심 R&amp;D]</t>
  </si>
  <si>
    <t>DO JAE YOUNG</t>
  </si>
  <si>
    <t>내 손 안의 뇌건강: 뇌 나이 및 인지예비력 기반 파운데이션 모델과 디지털 치료 플랫폼을 활용한 건강 노화 서비스 개발
[(주관/공동)공동과제] 이화여자대학교산학협력단 (045837)
[임무중심 R&amp;D]</t>
  </si>
  <si>
    <t>정현석</t>
  </si>
  <si>
    <t>내 손 안의 뇌건강: 뇌 나이 및 인지예비력 기반 파운데이션 모델과 디지털 치료 플랫폼을 활용한 건강 노화 서비스 개발
[(주관/공동)공동과제] 살루스케어 (064124)
[임무중심 R&amp;D]</t>
  </si>
  <si>
    <t>살루스케어 (064124)</t>
  </si>
  <si>
    <t>(064124)</t>
  </si>
  <si>
    <t>하성욱</t>
  </si>
  <si>
    <t>내 손 안의 뇌건강: 뇌 나이 및 인지예비력 기반 파운데이션 모델과 디지털 치료 플랫폼을 활용한 건강 노화 서비스 개발
[(주관/공동)공동과제] 서울특별시보라매병원 (038575)
[임무중심 R&amp;D]</t>
  </si>
  <si>
    <t>서울특별시보라매병원 (038575)</t>
  </si>
  <si>
    <t>(038575)</t>
  </si>
  <si>
    <t>전소연</t>
  </si>
  <si>
    <t>내 손 안의 뇌건강: 뇌 나이 및 인지예비력 기반 파운데이션 모델과 디지털 치료 플랫폼을 활용한 건강 노화 서비스 개발
[(주관/공동)공동과제] 주식회사 브라이토닉스이미징 (008160)
[임무중심 R&amp;D]</t>
  </si>
  <si>
    <t>주식회사 브라이토닉스이미징 (008160)</t>
  </si>
  <si>
    <t>(008160)</t>
  </si>
  <si>
    <t>강승관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</si>
</sst>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</patternFill>
    </fill>
    <fill>
      <patternFill patternType="solid">
        <fgColor rgb="FFFFCCCC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1" fontId="2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8" fillId="4" borderId="0" xfId="0" applyFont="1" applyFill="1">
      <alignment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>
      <alignment vertical="center"/>
    </xf>
    <xf numFmtId="0" fontId="9" fillId="5" borderId="5" xfId="0" applyFont="1" applyFill="1" applyBorder="1" applyAlignment="1">
      <alignment horizontal="center" vertical="center"/>
    </xf>
    <xf numFmtId="14" fontId="9" fillId="5" borderId="5" xfId="0" applyNumberFormat="1" applyFont="1" applyFill="1" applyBorder="1">
      <alignment vertical="center"/>
    </xf>
    <xf numFmtId="14" fontId="9" fillId="5" borderId="7" xfId="0" applyNumberFormat="1" applyFont="1" applyFill="1" applyBorder="1" applyAlignment="1">
      <alignment horizontal="center" vertical="center"/>
    </xf>
    <xf numFmtId="41" fontId="9" fillId="5" borderId="5" xfId="1" applyFont="1" applyFill="1" applyBorder="1">
      <alignment vertical="center"/>
    </xf>
    <xf numFmtId="49" fontId="9" fillId="5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>
      <alignment vertical="center"/>
    </xf>
    <xf numFmtId="0" fontId="9" fillId="5" borderId="8" xfId="0" applyFont="1" applyFill="1" applyBorder="1">
      <alignment vertical="center"/>
    </xf>
    <xf numFmtId="0" fontId="9" fillId="0" borderId="0" xfId="0" applyFont="1">
      <alignment vertical="center"/>
    </xf>
    <xf numFmtId="0" fontId="8" fillId="5" borderId="5" xfId="0" applyFont="1" applyFill="1" applyBorder="1">
      <alignment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5" xfId="0" applyFont="1" applyFill="1" applyBorder="1">
      <alignment vertical="center"/>
    </xf>
    <xf numFmtId="0" fontId="9" fillId="6" borderId="5" xfId="0" applyFont="1" applyFill="1" applyBorder="1" applyAlignment="1">
      <alignment horizontal="center" vertical="center"/>
    </xf>
    <xf numFmtId="14" fontId="9" fillId="6" borderId="5" xfId="0" applyNumberFormat="1" applyFont="1" applyFill="1" applyBorder="1">
      <alignment vertical="center"/>
    </xf>
    <xf numFmtId="14" fontId="9" fillId="6" borderId="7" xfId="0" applyNumberFormat="1" applyFont="1" applyFill="1" applyBorder="1" applyAlignment="1">
      <alignment horizontal="center" vertical="center"/>
    </xf>
    <xf numFmtId="41" fontId="9" fillId="6" borderId="5" xfId="1" applyFont="1" applyFill="1" applyBorder="1">
      <alignment vertical="center"/>
    </xf>
    <xf numFmtId="49" fontId="9" fillId="6" borderId="5" xfId="0" applyNumberFormat="1" applyFont="1" applyFill="1" applyBorder="1" applyAlignment="1">
      <alignment horizontal="center" vertical="center"/>
    </xf>
    <xf numFmtId="0" fontId="10" fillId="6" borderId="5" xfId="0" applyFont="1" applyFill="1" applyBorder="1">
      <alignment vertical="center"/>
    </xf>
    <xf numFmtId="0" fontId="9" fillId="6" borderId="8" xfId="0" applyFont="1" applyFill="1" applyBorder="1">
      <alignment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5" xfId="0" applyFont="1" applyFill="1" applyBorder="1">
      <alignment vertical="center"/>
    </xf>
    <xf numFmtId="0" fontId="9" fillId="7" borderId="5" xfId="0" applyFont="1" applyFill="1" applyBorder="1" applyAlignment="1">
      <alignment horizontal="center" vertical="center"/>
    </xf>
    <xf numFmtId="0" fontId="9" fillId="4" borderId="5" xfId="0" applyFont="1" applyFill="1" applyBorder="1">
      <alignment vertical="center"/>
    </xf>
    <xf numFmtId="0" fontId="9" fillId="4" borderId="5" xfId="0" applyFont="1" applyFill="1" applyBorder="1" applyAlignment="1">
      <alignment horizontal="center" vertical="center"/>
    </xf>
    <xf numFmtId="14" fontId="9" fillId="4" borderId="5" xfId="0" applyNumberFormat="1" applyFont="1" applyFill="1" applyBorder="1">
      <alignment vertical="center"/>
    </xf>
    <xf numFmtId="14" fontId="8" fillId="4" borderId="5" xfId="0" applyNumberFormat="1" applyFont="1" applyFill="1" applyBorder="1">
      <alignment vertical="center"/>
    </xf>
    <xf numFmtId="14" fontId="9" fillId="4" borderId="5" xfId="0" applyNumberFormat="1" applyFont="1" applyFill="1" applyBorder="1" applyAlignment="1">
      <alignment horizontal="center" vertical="center"/>
    </xf>
    <xf numFmtId="0" fontId="9" fillId="8" borderId="5" xfId="0" applyFont="1" applyFill="1" applyBorder="1">
      <alignment vertical="center"/>
    </xf>
    <xf numFmtId="41" fontId="9" fillId="8" borderId="5" xfId="1" applyFont="1" applyFill="1" applyBorder="1">
      <alignment vertical="center"/>
    </xf>
    <xf numFmtId="0" fontId="9" fillId="8" borderId="5" xfId="0" applyFont="1" applyFill="1" applyBorder="1" applyAlignment="1">
      <alignment horizontal="center" vertical="center"/>
    </xf>
    <xf numFmtId="0" fontId="10" fillId="7" borderId="5" xfId="0" applyFont="1" applyFill="1" applyBorder="1">
      <alignment vertical="center"/>
    </xf>
    <xf numFmtId="0" fontId="8" fillId="4" borderId="7" xfId="0" applyFont="1" applyFill="1" applyBorder="1">
      <alignment vertical="center"/>
    </xf>
    <xf numFmtId="0" fontId="9" fillId="7" borderId="8" xfId="0" applyFont="1" applyFill="1" applyBorder="1">
      <alignment vertical="center"/>
    </xf>
    <xf numFmtId="14" fontId="9" fillId="7" borderId="5" xfId="0" applyNumberFormat="1" applyFont="1" applyFill="1" applyBorder="1">
      <alignment vertical="center"/>
    </xf>
    <xf numFmtId="14" fontId="9" fillId="7" borderId="5" xfId="0" applyNumberFormat="1" applyFont="1" applyFill="1" applyBorder="1" applyAlignment="1">
      <alignment horizontal="center" vertical="center"/>
    </xf>
    <xf numFmtId="41" fontId="9" fillId="7" borderId="5" xfId="1" applyFont="1" applyFill="1" applyBorder="1">
      <alignment vertical="center"/>
    </xf>
    <xf numFmtId="0" fontId="8" fillId="7" borderId="5" xfId="0" applyFont="1" applyFill="1" applyBorder="1">
      <alignment vertical="center"/>
    </xf>
    <xf numFmtId="0" fontId="10" fillId="7" borderId="5" xfId="0" applyFont="1" applyFill="1" applyBorder="1" applyAlignment="1">
      <alignment horizontal="center" vertical="center"/>
    </xf>
    <xf numFmtId="14" fontId="10" fillId="7" borderId="5" xfId="0" applyNumberFormat="1" applyFont="1" applyFill="1" applyBorder="1">
      <alignment vertical="center"/>
    </xf>
    <xf numFmtId="14" fontId="10" fillId="7" borderId="5" xfId="0" applyNumberFormat="1" applyFont="1" applyFill="1" applyBorder="1" applyAlignment="1">
      <alignment horizontal="center" vertical="center"/>
    </xf>
    <xf numFmtId="41" fontId="8" fillId="7" borderId="5" xfId="0" applyNumberFormat="1" applyFont="1" applyFill="1" applyBorder="1">
      <alignment vertical="center"/>
    </xf>
    <xf numFmtId="41" fontId="10" fillId="7" borderId="5" xfId="1" applyFont="1" applyFill="1" applyBorder="1">
      <alignment vertical="center"/>
    </xf>
    <xf numFmtId="0" fontId="10" fillId="8" borderId="5" xfId="0" applyFont="1" applyFill="1" applyBorder="1" applyAlignment="1">
      <alignment horizontal="center" vertical="center"/>
    </xf>
    <xf numFmtId="41" fontId="10" fillId="7" borderId="5" xfId="0" applyNumberFormat="1" applyFont="1" applyFill="1" applyBorder="1">
      <alignment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5" xfId="0" applyFont="1" applyFill="1" applyBorder="1">
      <alignment vertical="center"/>
    </xf>
    <xf numFmtId="0" fontId="9" fillId="9" borderId="5" xfId="0" applyFont="1" applyFill="1" applyBorder="1" applyAlignment="1">
      <alignment horizontal="center" vertical="center"/>
    </xf>
    <xf numFmtId="14" fontId="9" fillId="9" borderId="5" xfId="0" applyNumberFormat="1" applyFont="1" applyFill="1" applyBorder="1">
      <alignment vertical="center"/>
    </xf>
    <xf numFmtId="14" fontId="9" fillId="9" borderId="5" xfId="0" applyNumberFormat="1" applyFont="1" applyFill="1" applyBorder="1" applyAlignment="1">
      <alignment horizontal="center" vertical="center"/>
    </xf>
    <xf numFmtId="41" fontId="9" fillId="9" borderId="5" xfId="1" applyFont="1" applyFill="1" applyBorder="1">
      <alignment vertical="center"/>
    </xf>
    <xf numFmtId="0" fontId="10" fillId="9" borderId="5" xfId="0" applyFont="1" applyFill="1" applyBorder="1">
      <alignment vertical="center"/>
    </xf>
    <xf numFmtId="0" fontId="9" fillId="10" borderId="5" xfId="0" applyFont="1" applyFill="1" applyBorder="1" applyAlignment="1">
      <alignment horizontal="center" vertical="center"/>
    </xf>
    <xf numFmtId="0" fontId="9" fillId="9" borderId="8" xfId="0" applyFont="1" applyFill="1" applyBorder="1">
      <alignment vertical="center"/>
    </xf>
    <xf numFmtId="0" fontId="8" fillId="9" borderId="5" xfId="0" applyFont="1" applyFill="1" applyBorder="1">
      <alignment vertical="center"/>
    </xf>
    <xf numFmtId="0" fontId="8" fillId="9" borderId="5" xfId="0" applyFont="1" applyFill="1" applyBorder="1" applyAlignment="1">
      <alignment horizontal="center" vertical="center"/>
    </xf>
    <xf numFmtId="14" fontId="8" fillId="9" borderId="5" xfId="0" applyNumberFormat="1" applyFont="1" applyFill="1" applyBorder="1">
      <alignment vertical="center"/>
    </xf>
    <xf numFmtId="14" fontId="8" fillId="9" borderId="5" xfId="0" applyNumberFormat="1" applyFont="1" applyFill="1" applyBorder="1" applyAlignment="1">
      <alignment horizontal="center" vertical="center"/>
    </xf>
    <xf numFmtId="41" fontId="8" fillId="9" borderId="5" xfId="1" applyFont="1" applyFill="1" applyBorder="1">
      <alignment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5" xfId="0" applyFont="1" applyFill="1" applyBorder="1">
      <alignment vertical="center"/>
    </xf>
    <xf numFmtId="0" fontId="9" fillId="11" borderId="5" xfId="0" applyFont="1" applyFill="1" applyBorder="1" applyAlignment="1">
      <alignment horizontal="center" vertical="center"/>
    </xf>
    <xf numFmtId="14" fontId="9" fillId="11" borderId="5" xfId="0" applyNumberFormat="1" applyFont="1" applyFill="1" applyBorder="1">
      <alignment vertical="center"/>
    </xf>
    <xf numFmtId="14" fontId="9" fillId="11" borderId="5" xfId="0" applyNumberFormat="1" applyFont="1" applyFill="1" applyBorder="1" applyAlignment="1">
      <alignment horizontal="center" vertical="center"/>
    </xf>
    <xf numFmtId="41" fontId="9" fillId="11" borderId="5" xfId="1" applyFont="1" applyFill="1" applyBorder="1">
      <alignment vertical="center"/>
    </xf>
    <xf numFmtId="0" fontId="8" fillId="11" borderId="5" xfId="0" applyFont="1" applyFill="1" applyBorder="1">
      <alignment vertical="center"/>
    </xf>
    <xf numFmtId="0" fontId="9" fillId="11" borderId="8" xfId="0" applyFont="1" applyFill="1" applyBorder="1">
      <alignment vertical="center"/>
    </xf>
    <xf numFmtId="0" fontId="10" fillId="11" borderId="5" xfId="0" applyFont="1" applyFill="1" applyBorder="1">
      <alignment vertical="center"/>
    </xf>
    <xf numFmtId="0" fontId="9" fillId="12" borderId="5" xfId="0" applyFont="1" applyFill="1" applyBorder="1">
      <alignment vertical="center"/>
    </xf>
    <xf numFmtId="0" fontId="9" fillId="12" borderId="5" xfId="0" applyFont="1" applyFill="1" applyBorder="1" applyAlignment="1">
      <alignment horizontal="center" vertical="center"/>
    </xf>
    <xf numFmtId="14" fontId="9" fillId="12" borderId="5" xfId="0" applyNumberFormat="1" applyFont="1" applyFill="1" applyBorder="1">
      <alignment vertical="center"/>
    </xf>
    <xf numFmtId="14" fontId="9" fillId="12" borderId="5" xfId="0" applyNumberFormat="1" applyFont="1" applyFill="1" applyBorder="1" applyAlignment="1">
      <alignment horizontal="center" vertical="center"/>
    </xf>
    <xf numFmtId="41" fontId="9" fillId="12" borderId="5" xfId="1" applyFont="1" applyFill="1" applyBorder="1">
      <alignment vertical="center"/>
    </xf>
    <xf numFmtId="0" fontId="10" fillId="12" borderId="5" xfId="0" applyFont="1" applyFill="1" applyBorder="1">
      <alignment vertical="center"/>
    </xf>
    <xf numFmtId="0" fontId="8" fillId="12" borderId="5" xfId="0" applyFont="1" applyFill="1" applyBorder="1">
      <alignment vertical="center"/>
    </xf>
    <xf numFmtId="0" fontId="9" fillId="10" borderId="5" xfId="0" applyFont="1" applyFill="1" applyBorder="1">
      <alignment vertical="center"/>
    </xf>
    <xf numFmtId="14" fontId="9" fillId="10" borderId="5" xfId="0" applyNumberFormat="1" applyFont="1" applyFill="1" applyBorder="1">
      <alignment vertical="center"/>
    </xf>
    <xf numFmtId="14" fontId="9" fillId="10" borderId="5" xfId="0" applyNumberFormat="1" applyFont="1" applyFill="1" applyBorder="1" applyAlignment="1">
      <alignment horizontal="center" vertical="center"/>
    </xf>
    <xf numFmtId="41" fontId="9" fillId="10" borderId="5" xfId="1" applyFont="1" applyFill="1" applyBorder="1">
      <alignment vertical="center"/>
    </xf>
    <xf numFmtId="0" fontId="10" fillId="10" borderId="5" xfId="0" applyFont="1" applyFill="1" applyBorder="1">
      <alignment vertical="center"/>
    </xf>
    <xf numFmtId="0" fontId="8" fillId="10" borderId="5" xfId="0" applyFont="1" applyFill="1" applyBorder="1">
      <alignment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176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41" fontId="11" fillId="13" borderId="2" xfId="0" applyNumberFormat="1" applyFont="1" applyFill="1" applyBorder="1" applyAlignment="1">
      <alignment horizontal="center" vertical="center"/>
    </xf>
    <xf numFmtId="41" fontId="11" fillId="13" borderId="2" xfId="0" applyNumberFormat="1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4" fillId="0" borderId="5" xfId="0" applyFont="1" applyBorder="1">
      <alignment vertical="center"/>
    </xf>
    <xf numFmtId="0" fontId="15" fillId="15" borderId="5" xfId="0" applyFont="1" applyFill="1" applyBorder="1" applyAlignment="1">
      <alignment horizontal="center" vertical="center" wrapText="1"/>
    </xf>
    <xf numFmtId="49" fontId="15" fillId="15" borderId="5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14" fontId="14" fillId="0" borderId="7" xfId="0" applyNumberFormat="1" applyFont="1" applyBorder="1">
      <alignment vertical="center"/>
    </xf>
    <xf numFmtId="14" fontId="14" fillId="0" borderId="5" xfId="0" applyNumberFormat="1" applyFont="1" applyBorder="1">
      <alignment vertical="center"/>
    </xf>
    <xf numFmtId="0" fontId="14" fillId="0" borderId="8" xfId="0" applyFont="1" applyBorder="1">
      <alignment vertical="center"/>
    </xf>
    <xf numFmtId="0" fontId="16" fillId="15" borderId="5" xfId="0" applyFont="1" applyFill="1" applyBorder="1" applyAlignment="1">
      <alignment horizontal="left" vertical="center" wrapText="1"/>
    </xf>
    <xf numFmtId="0" fontId="16" fillId="15" borderId="5" xfId="0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41" fontId="14" fillId="0" borderId="7" xfId="1" applyFont="1" applyBorder="1">
      <alignment vertical="center"/>
    </xf>
    <xf numFmtId="0" fontId="14" fillId="0" borderId="7" xfId="0" applyFont="1" applyBorder="1">
      <alignment vertical="center"/>
    </xf>
    <xf numFmtId="10" fontId="14" fillId="0" borderId="5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8" fillId="0" borderId="0" xfId="0" applyFont="1">
      <alignment vertical="center"/>
    </xf>
    <xf numFmtId="0" fontId="19" fillId="0" borderId="5" xfId="0" applyFont="1" applyBorder="1">
      <alignment vertical="center"/>
    </xf>
    <xf numFmtId="0" fontId="14" fillId="16" borderId="11" xfId="0" applyFont="1" applyFill="1" applyBorder="1">
      <alignment vertical="center"/>
    </xf>
    <xf numFmtId="0" fontId="14" fillId="16" borderId="12" xfId="0" applyFont="1" applyFill="1" applyBorder="1">
      <alignment vertical="center"/>
    </xf>
    <xf numFmtId="0" fontId="15" fillId="16" borderId="12" xfId="0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 wrapText="1"/>
    </xf>
    <xf numFmtId="0" fontId="14" fillId="16" borderId="5" xfId="0" applyFont="1" applyFill="1" applyBorder="1">
      <alignment vertical="center"/>
    </xf>
    <xf numFmtId="0" fontId="14" fillId="16" borderId="5" xfId="0" applyFont="1" applyFill="1" applyBorder="1" applyAlignment="1">
      <alignment horizontal="center" vertical="center"/>
    </xf>
    <xf numFmtId="14" fontId="14" fillId="16" borderId="5" xfId="0" applyNumberFormat="1" applyFont="1" applyFill="1" applyBorder="1">
      <alignment vertical="center"/>
    </xf>
    <xf numFmtId="0" fontId="16" fillId="16" borderId="5" xfId="0" applyFont="1" applyFill="1" applyBorder="1" applyAlignment="1">
      <alignment horizontal="left" vertical="center" wrapText="1"/>
    </xf>
    <xf numFmtId="0" fontId="16" fillId="16" borderId="5" xfId="0" applyFont="1" applyFill="1" applyBorder="1" applyAlignment="1">
      <alignment horizontal="center" vertical="center" wrapText="1"/>
    </xf>
    <xf numFmtId="0" fontId="17" fillId="16" borderId="5" xfId="0" applyFont="1" applyFill="1" applyBorder="1">
      <alignment vertical="center"/>
    </xf>
    <xf numFmtId="41" fontId="14" fillId="16" borderId="5" xfId="1" applyFont="1" applyFill="1" applyBorder="1">
      <alignment vertical="center"/>
    </xf>
    <xf numFmtId="10" fontId="14" fillId="16" borderId="5" xfId="0" applyNumberFormat="1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 wrapText="1"/>
    </xf>
    <xf numFmtId="49" fontId="15" fillId="12" borderId="5" xfId="0" applyNumberFormat="1" applyFont="1" applyFill="1" applyBorder="1" applyAlignment="1">
      <alignment horizontal="center" vertical="center" wrapText="1"/>
    </xf>
    <xf numFmtId="0" fontId="14" fillId="12" borderId="5" xfId="0" applyFont="1" applyFill="1" applyBorder="1">
      <alignment vertical="center"/>
    </xf>
    <xf numFmtId="0" fontId="14" fillId="12" borderId="7" xfId="0" applyFont="1" applyFill="1" applyBorder="1" applyAlignment="1">
      <alignment horizontal="center" vertical="center"/>
    </xf>
    <xf numFmtId="14" fontId="14" fillId="12" borderId="7" xfId="0" applyNumberFormat="1" applyFont="1" applyFill="1" applyBorder="1">
      <alignment vertical="center"/>
    </xf>
    <xf numFmtId="14" fontId="14" fillId="12" borderId="5" xfId="0" applyNumberFormat="1" applyFont="1" applyFill="1" applyBorder="1">
      <alignment vertical="center"/>
    </xf>
    <xf numFmtId="0" fontId="14" fillId="12" borderId="8" xfId="0" applyFont="1" applyFill="1" applyBorder="1">
      <alignment vertical="center"/>
    </xf>
    <xf numFmtId="0" fontId="16" fillId="12" borderId="5" xfId="0" applyFont="1" applyFill="1" applyBorder="1" applyAlignment="1">
      <alignment horizontal="left" vertical="center" wrapText="1"/>
    </xf>
    <xf numFmtId="0" fontId="16" fillId="12" borderId="5" xfId="0" applyFont="1" applyFill="1" applyBorder="1" applyAlignment="1">
      <alignment horizontal="center" vertical="center" wrapText="1"/>
    </xf>
    <xf numFmtId="0" fontId="17" fillId="12" borderId="0" xfId="0" applyFont="1" applyFill="1">
      <alignment vertical="center"/>
    </xf>
    <xf numFmtId="41" fontId="14" fillId="12" borderId="7" xfId="1" applyFont="1" applyFill="1" applyBorder="1">
      <alignment vertical="center"/>
    </xf>
    <xf numFmtId="0" fontId="14" fillId="12" borderId="7" xfId="0" applyFont="1" applyFill="1" applyBorder="1">
      <alignment vertical="center"/>
    </xf>
    <xf numFmtId="10" fontId="14" fillId="12" borderId="5" xfId="0" applyNumberFormat="1" applyFont="1" applyFill="1" applyBorder="1" applyAlignment="1">
      <alignment horizontal="center" vertical="center"/>
    </xf>
    <xf numFmtId="0" fontId="14" fillId="10" borderId="6" xfId="0" applyFont="1" applyFill="1" applyBorder="1">
      <alignment vertical="center"/>
    </xf>
    <xf numFmtId="0" fontId="14" fillId="10" borderId="5" xfId="0" applyFont="1" applyFill="1" applyBorder="1">
      <alignment vertical="center"/>
    </xf>
    <xf numFmtId="0" fontId="15" fillId="10" borderId="5" xfId="0" applyFont="1" applyFill="1" applyBorder="1" applyAlignment="1">
      <alignment horizontal="center" vertical="center" wrapText="1"/>
    </xf>
    <xf numFmtId="49" fontId="15" fillId="10" borderId="5" xfId="0" applyNumberFormat="1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/>
    </xf>
    <xf numFmtId="14" fontId="14" fillId="10" borderId="7" xfId="0" applyNumberFormat="1" applyFont="1" applyFill="1" applyBorder="1">
      <alignment vertical="center"/>
    </xf>
    <xf numFmtId="14" fontId="14" fillId="10" borderId="5" xfId="0" applyNumberFormat="1" applyFont="1" applyFill="1" applyBorder="1">
      <alignment vertical="center"/>
    </xf>
    <xf numFmtId="0" fontId="14" fillId="10" borderId="8" xfId="0" applyFont="1" applyFill="1" applyBorder="1">
      <alignment vertical="center"/>
    </xf>
    <xf numFmtId="0" fontId="16" fillId="10" borderId="5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7" fillId="10" borderId="0" xfId="0" applyFont="1" applyFill="1">
      <alignment vertical="center"/>
    </xf>
    <xf numFmtId="41" fontId="14" fillId="10" borderId="7" xfId="1" applyFont="1" applyFill="1" applyBorder="1">
      <alignment vertical="center"/>
    </xf>
    <xf numFmtId="0" fontId="14" fillId="10" borderId="7" xfId="0" applyFont="1" applyFill="1" applyBorder="1">
      <alignment vertical="center"/>
    </xf>
    <xf numFmtId="10" fontId="14" fillId="10" borderId="5" xfId="0" applyNumberFormat="1" applyFont="1" applyFill="1" applyBorder="1" applyAlignment="1">
      <alignment horizontal="center" vertical="center"/>
    </xf>
    <xf numFmtId="0" fontId="19" fillId="10" borderId="5" xfId="0" applyFont="1" applyFill="1" applyBorder="1">
      <alignment vertical="center"/>
    </xf>
  </cellXfs>
  <cellStyles count="2">
    <cellStyle name="쉼표 [0]" xfId="1" builtinId="6"/>
    <cellStyle name="표준" xfId="0" builtinId="0"/>
  </cellStyles>
  <dxfs count="3">
    <dxf>
      <fill>
        <patternFill>
          <bgColor rgb="FF33CC33"/>
        </patternFill>
      </fill>
    </dxf>
    <dxf>
      <fill>
        <patternFill>
          <bgColor rgb="FFFF9999"/>
        </patternFill>
      </fill>
    </dxf>
    <dxf>
      <font>
        <color rgb="FFFF0000"/>
      </font>
      <fill>
        <patternFill>
          <bgColor rgb="FFFAE1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15B6-EFB8-4892-A6A1-7E3B0893560D}">
  <dimension ref="A1:AL139"/>
  <sheetViews>
    <sheetView tabSelected="1" zoomScale="70" zoomScaleNormal="70" workbookViewId="0">
      <selection activeCell="H7" sqref="H7"/>
    </sheetView>
  </sheetViews>
  <sheetFormatPr defaultRowHeight="16.5" x14ac:dyDescent="0.3"/>
  <cols>
    <col min="1" max="1" width="5.5" bestFit="1" customWidth="1"/>
    <col min="2" max="2" width="29.625" bestFit="1" customWidth="1"/>
    <col min="3" max="3" width="9.25" bestFit="1" customWidth="1"/>
    <col min="4" max="4" width="9.5" bestFit="1" customWidth="1"/>
    <col min="5" max="5" width="57.25" customWidth="1"/>
    <col min="6" max="7" width="5.5" bestFit="1" customWidth="1"/>
    <col min="8" max="8" width="18.625" bestFit="1" customWidth="1"/>
    <col min="9" max="15" width="11.125" bestFit="1" customWidth="1"/>
    <col min="17" max="17" width="13.25" bestFit="1" customWidth="1"/>
    <col min="19" max="19" width="13.25" bestFit="1" customWidth="1"/>
    <col min="20" max="20" width="15.625" bestFit="1" customWidth="1"/>
    <col min="21" max="22" width="14.625" bestFit="1" customWidth="1"/>
    <col min="23" max="23" width="13" bestFit="1" customWidth="1"/>
    <col min="24" max="24" width="8" bestFit="1" customWidth="1"/>
    <col min="26" max="26" width="9.25" bestFit="1" customWidth="1"/>
    <col min="27" max="29" width="7.375" bestFit="1" customWidth="1"/>
    <col min="30" max="30" width="8.5" bestFit="1" customWidth="1"/>
    <col min="31" max="32" width="7.375" bestFit="1" customWidth="1"/>
    <col min="33" max="33" width="8.625" bestFit="1" customWidth="1"/>
    <col min="34" max="34" width="26.5" bestFit="1" customWidth="1"/>
    <col min="35" max="35" width="7.375" bestFit="1" customWidth="1"/>
    <col min="36" max="36" width="9.25" bestFit="1" customWidth="1"/>
    <col min="37" max="37" width="7.125" bestFit="1" customWidth="1"/>
    <col min="38" max="38" width="11.25" bestFit="1" customWidth="1"/>
  </cols>
  <sheetData>
    <row r="1" spans="1:38" ht="50.25" thickTop="1" x14ac:dyDescent="0.3">
      <c r="A1" s="94" t="s">
        <v>0</v>
      </c>
      <c r="B1" s="95" t="s">
        <v>1</v>
      </c>
      <c r="C1" s="95" t="s">
        <v>2</v>
      </c>
      <c r="D1" s="96" t="s">
        <v>3</v>
      </c>
      <c r="E1" s="95" t="s">
        <v>4</v>
      </c>
      <c r="F1" s="95" t="s">
        <v>5</v>
      </c>
      <c r="G1" s="95" t="s">
        <v>6</v>
      </c>
      <c r="H1" s="97" t="s">
        <v>214</v>
      </c>
      <c r="I1" s="97" t="s">
        <v>215</v>
      </c>
      <c r="J1" s="97" t="s">
        <v>216</v>
      </c>
      <c r="K1" s="97" t="s">
        <v>217</v>
      </c>
      <c r="L1" s="97" t="s">
        <v>218</v>
      </c>
      <c r="M1" s="97" t="s">
        <v>219</v>
      </c>
      <c r="N1" s="97" t="s">
        <v>220</v>
      </c>
      <c r="O1" s="97" t="s">
        <v>221</v>
      </c>
      <c r="P1" s="98" t="s">
        <v>222</v>
      </c>
      <c r="Q1" s="95" t="s">
        <v>10</v>
      </c>
      <c r="R1" s="98" t="s">
        <v>223</v>
      </c>
      <c r="S1" s="95" t="s">
        <v>224</v>
      </c>
      <c r="T1" s="95" t="s">
        <v>11</v>
      </c>
      <c r="U1" s="99" t="s">
        <v>225</v>
      </c>
      <c r="V1" s="99" t="s">
        <v>226</v>
      </c>
      <c r="W1" s="99" t="s">
        <v>227</v>
      </c>
      <c r="X1" s="100" t="s">
        <v>228</v>
      </c>
      <c r="Y1" s="97" t="s">
        <v>229</v>
      </c>
      <c r="Z1" s="95" t="s">
        <v>230</v>
      </c>
      <c r="AA1" s="97" t="s">
        <v>231</v>
      </c>
      <c r="AB1" s="97" t="s">
        <v>232</v>
      </c>
      <c r="AC1" s="97" t="s">
        <v>233</v>
      </c>
      <c r="AD1" s="97" t="s">
        <v>234</v>
      </c>
      <c r="AE1" s="101" t="s">
        <v>17</v>
      </c>
      <c r="AF1" s="101" t="s">
        <v>18</v>
      </c>
      <c r="AG1" s="101" t="s">
        <v>235</v>
      </c>
      <c r="AH1" s="102" t="s">
        <v>19</v>
      </c>
      <c r="AI1" s="101" t="s">
        <v>236</v>
      </c>
      <c r="AJ1" s="103" t="s">
        <v>237</v>
      </c>
      <c r="AK1" s="104" t="s">
        <v>238</v>
      </c>
      <c r="AL1" s="104" t="s">
        <v>239</v>
      </c>
    </row>
    <row r="2" spans="1:38" ht="49.5" x14ac:dyDescent="0.3">
      <c r="A2" s="105">
        <v>26</v>
      </c>
      <c r="B2" s="106" t="s">
        <v>240</v>
      </c>
      <c r="C2" s="107" t="s">
        <v>43</v>
      </c>
      <c r="D2" s="108" t="s">
        <v>44</v>
      </c>
      <c r="E2" s="106" t="s">
        <v>241</v>
      </c>
      <c r="F2" s="109">
        <v>1</v>
      </c>
      <c r="G2" s="109">
        <v>1</v>
      </c>
      <c r="H2" s="109" t="s">
        <v>242</v>
      </c>
      <c r="I2" s="110">
        <v>45748</v>
      </c>
      <c r="J2" s="110">
        <v>46022</v>
      </c>
      <c r="K2" s="110">
        <v>45748</v>
      </c>
      <c r="L2" s="110">
        <v>46387</v>
      </c>
      <c r="M2" s="111">
        <v>45869</v>
      </c>
      <c r="N2" s="111">
        <v>45961</v>
      </c>
      <c r="O2" s="111">
        <v>46053</v>
      </c>
      <c r="P2" s="112"/>
      <c r="Q2" s="113" t="s">
        <v>62</v>
      </c>
      <c r="R2" s="113"/>
      <c r="S2" s="114" t="s">
        <v>243</v>
      </c>
      <c r="T2" s="115" t="s">
        <v>244</v>
      </c>
      <c r="U2" s="116">
        <v>66933363</v>
      </c>
      <c r="V2" s="116">
        <v>41299300</v>
      </c>
      <c r="W2" s="116">
        <v>25634063</v>
      </c>
      <c r="X2" s="106" t="s">
        <v>245</v>
      </c>
      <c r="Y2" s="117" t="s">
        <v>246</v>
      </c>
      <c r="Z2" s="117">
        <v>37</v>
      </c>
      <c r="AA2" s="117">
        <v>0</v>
      </c>
      <c r="AB2" s="117">
        <v>0</v>
      </c>
      <c r="AC2" s="117">
        <v>0</v>
      </c>
      <c r="AD2" s="118">
        <v>1</v>
      </c>
      <c r="AE2" s="117" t="s">
        <v>35</v>
      </c>
      <c r="AF2" s="117" t="s">
        <v>35</v>
      </c>
      <c r="AG2" s="117"/>
      <c r="AH2" s="106"/>
      <c r="AI2" s="106"/>
      <c r="AJ2" s="106"/>
      <c r="AK2" s="119"/>
      <c r="AL2" s="119"/>
    </row>
    <row r="3" spans="1:38" ht="66" x14ac:dyDescent="0.3">
      <c r="A3" s="105">
        <v>27</v>
      </c>
      <c r="B3" s="106" t="s">
        <v>240</v>
      </c>
      <c r="C3" s="107" t="s">
        <v>43</v>
      </c>
      <c r="D3" s="108" t="s">
        <v>44</v>
      </c>
      <c r="E3" s="106" t="s">
        <v>247</v>
      </c>
      <c r="F3" s="109">
        <v>1</v>
      </c>
      <c r="G3" s="109">
        <v>1</v>
      </c>
      <c r="H3" s="109" t="s">
        <v>242</v>
      </c>
      <c r="I3" s="110">
        <v>45748</v>
      </c>
      <c r="J3" s="110">
        <v>46022</v>
      </c>
      <c r="K3" s="110">
        <v>45748</v>
      </c>
      <c r="L3" s="110">
        <v>46387</v>
      </c>
      <c r="M3" s="111">
        <v>45869</v>
      </c>
      <c r="N3" s="111">
        <v>45961</v>
      </c>
      <c r="O3" s="111">
        <v>46053</v>
      </c>
      <c r="P3" s="112"/>
      <c r="Q3" s="113" t="s">
        <v>248</v>
      </c>
      <c r="R3" s="113"/>
      <c r="S3" s="114" t="s">
        <v>249</v>
      </c>
      <c r="T3" s="115" t="s">
        <v>250</v>
      </c>
      <c r="U3" s="116">
        <v>200000000</v>
      </c>
      <c r="V3" s="116">
        <v>200000000</v>
      </c>
      <c r="W3" s="116">
        <v>0</v>
      </c>
      <c r="X3" s="106" t="s">
        <v>245</v>
      </c>
      <c r="Y3" s="117" t="s">
        <v>251</v>
      </c>
      <c r="Z3" s="117">
        <v>181</v>
      </c>
      <c r="AA3" s="117">
        <v>3</v>
      </c>
      <c r="AB3" s="117">
        <v>0</v>
      </c>
      <c r="AC3" s="117">
        <v>48</v>
      </c>
      <c r="AD3" s="118">
        <v>0.98342541436464093</v>
      </c>
      <c r="AE3" s="117" t="s">
        <v>35</v>
      </c>
      <c r="AF3" s="117" t="s">
        <v>35</v>
      </c>
      <c r="AG3" s="117"/>
      <c r="AH3" s="106"/>
      <c r="AI3" s="106"/>
      <c r="AJ3" s="106"/>
      <c r="AK3" s="119"/>
      <c r="AL3" s="119"/>
    </row>
    <row r="4" spans="1:38" ht="66" x14ac:dyDescent="0.3">
      <c r="A4" s="105">
        <v>28</v>
      </c>
      <c r="B4" s="106" t="s">
        <v>240</v>
      </c>
      <c r="C4" s="107" t="s">
        <v>43</v>
      </c>
      <c r="D4" s="108" t="s">
        <v>44</v>
      </c>
      <c r="E4" s="106" t="s">
        <v>45</v>
      </c>
      <c r="F4" s="109">
        <v>1</v>
      </c>
      <c r="G4" s="109">
        <v>1</v>
      </c>
      <c r="H4" s="109" t="s">
        <v>242</v>
      </c>
      <c r="I4" s="110">
        <v>45748</v>
      </c>
      <c r="J4" s="110">
        <v>46022</v>
      </c>
      <c r="K4" s="110">
        <v>45748</v>
      </c>
      <c r="L4" s="110">
        <v>46387</v>
      </c>
      <c r="M4" s="111">
        <v>45869</v>
      </c>
      <c r="N4" s="111">
        <v>45961</v>
      </c>
      <c r="O4" s="111">
        <v>46053</v>
      </c>
      <c r="P4" s="112"/>
      <c r="Q4" s="113" t="s">
        <v>46</v>
      </c>
      <c r="R4" s="113"/>
      <c r="S4" s="114" t="s">
        <v>252</v>
      </c>
      <c r="T4" s="115" t="s">
        <v>47</v>
      </c>
      <c r="U4" s="116">
        <v>300000000</v>
      </c>
      <c r="V4" s="116">
        <v>255544130</v>
      </c>
      <c r="W4" s="116">
        <v>44455870</v>
      </c>
      <c r="X4" s="106" t="s">
        <v>253</v>
      </c>
      <c r="Y4" s="117" t="s">
        <v>251</v>
      </c>
      <c r="Z4" s="117">
        <v>149</v>
      </c>
      <c r="AA4" s="117">
        <v>0</v>
      </c>
      <c r="AB4" s="117">
        <v>0</v>
      </c>
      <c r="AC4" s="117">
        <v>101</v>
      </c>
      <c r="AD4" s="118">
        <v>1</v>
      </c>
      <c r="AE4" s="117" t="s">
        <v>35</v>
      </c>
      <c r="AF4" s="117" t="s">
        <v>35</v>
      </c>
      <c r="AG4" s="117"/>
      <c r="AH4" s="106"/>
      <c r="AI4" s="106"/>
      <c r="AJ4" s="106"/>
      <c r="AK4" s="119"/>
      <c r="AL4" s="119"/>
    </row>
    <row r="5" spans="1:38" ht="66" x14ac:dyDescent="0.3">
      <c r="A5" s="105">
        <v>29</v>
      </c>
      <c r="B5" s="106" t="s">
        <v>240</v>
      </c>
      <c r="C5" s="107" t="s">
        <v>43</v>
      </c>
      <c r="D5" s="108" t="s">
        <v>44</v>
      </c>
      <c r="E5" s="106" t="s">
        <v>254</v>
      </c>
      <c r="F5" s="109">
        <v>1</v>
      </c>
      <c r="G5" s="109">
        <v>1</v>
      </c>
      <c r="H5" s="109" t="s">
        <v>242</v>
      </c>
      <c r="I5" s="110">
        <v>45748</v>
      </c>
      <c r="J5" s="110">
        <v>46022</v>
      </c>
      <c r="K5" s="110">
        <v>45748</v>
      </c>
      <c r="L5" s="110">
        <v>46387</v>
      </c>
      <c r="M5" s="111">
        <v>45869</v>
      </c>
      <c r="N5" s="111">
        <v>45961</v>
      </c>
      <c r="O5" s="111">
        <v>46053</v>
      </c>
      <c r="P5" s="112"/>
      <c r="Q5" s="113" t="s">
        <v>255</v>
      </c>
      <c r="R5" s="113"/>
      <c r="S5" s="114" t="s">
        <v>256</v>
      </c>
      <c r="T5" s="115" t="s">
        <v>257</v>
      </c>
      <c r="U5" s="116">
        <v>100031550</v>
      </c>
      <c r="V5" s="116">
        <v>99931795</v>
      </c>
      <c r="W5" s="116">
        <v>99755</v>
      </c>
      <c r="X5" s="106" t="s">
        <v>245</v>
      </c>
      <c r="Y5" s="117" t="s">
        <v>258</v>
      </c>
      <c r="Z5" s="117">
        <v>80</v>
      </c>
      <c r="AA5" s="117">
        <v>0</v>
      </c>
      <c r="AB5" s="117">
        <v>0</v>
      </c>
      <c r="AC5" s="117">
        <v>0</v>
      </c>
      <c r="AD5" s="118">
        <v>1</v>
      </c>
      <c r="AE5" s="117" t="s">
        <v>35</v>
      </c>
      <c r="AF5" s="117" t="s">
        <v>35</v>
      </c>
      <c r="AG5" s="117"/>
      <c r="AH5" s="106"/>
      <c r="AI5" s="106"/>
      <c r="AJ5" s="106"/>
      <c r="AK5" s="119"/>
      <c r="AL5" s="119"/>
    </row>
    <row r="6" spans="1:38" ht="66" x14ac:dyDescent="0.3">
      <c r="A6" s="105">
        <v>30</v>
      </c>
      <c r="B6" s="106" t="s">
        <v>240</v>
      </c>
      <c r="C6" s="107" t="s">
        <v>43</v>
      </c>
      <c r="D6" s="108" t="s">
        <v>44</v>
      </c>
      <c r="E6" s="106" t="s">
        <v>259</v>
      </c>
      <c r="F6" s="109">
        <v>1</v>
      </c>
      <c r="G6" s="109">
        <v>1</v>
      </c>
      <c r="H6" s="109" t="s">
        <v>242</v>
      </c>
      <c r="I6" s="110">
        <v>45748</v>
      </c>
      <c r="J6" s="110">
        <v>46022</v>
      </c>
      <c r="K6" s="110">
        <v>45748</v>
      </c>
      <c r="L6" s="110">
        <v>46387</v>
      </c>
      <c r="M6" s="111">
        <v>45869</v>
      </c>
      <c r="N6" s="111">
        <v>45961</v>
      </c>
      <c r="O6" s="111">
        <v>46053</v>
      </c>
      <c r="P6" s="112"/>
      <c r="Q6" s="113" t="s">
        <v>260</v>
      </c>
      <c r="R6" s="113"/>
      <c r="S6" s="114" t="s">
        <v>261</v>
      </c>
      <c r="T6" s="115" t="s">
        <v>262</v>
      </c>
      <c r="U6" s="116">
        <v>100020770</v>
      </c>
      <c r="V6" s="116">
        <v>88110137</v>
      </c>
      <c r="W6" s="116">
        <v>11910633</v>
      </c>
      <c r="X6" s="106" t="s">
        <v>245</v>
      </c>
      <c r="Y6" s="117" t="s">
        <v>251</v>
      </c>
      <c r="Z6" s="117">
        <v>42</v>
      </c>
      <c r="AA6" s="117">
        <v>0</v>
      </c>
      <c r="AB6" s="117">
        <v>19</v>
      </c>
      <c r="AC6" s="117">
        <v>2</v>
      </c>
      <c r="AD6" s="118">
        <v>1</v>
      </c>
      <c r="AE6" s="117" t="s">
        <v>35</v>
      </c>
      <c r="AF6" s="117" t="s">
        <v>35</v>
      </c>
      <c r="AG6" s="117"/>
      <c r="AH6" s="106"/>
      <c r="AI6" s="106"/>
      <c r="AJ6" s="106"/>
      <c r="AK6" s="119"/>
      <c r="AL6" s="119"/>
    </row>
    <row r="7" spans="1:38" ht="66" x14ac:dyDescent="0.3">
      <c r="A7" s="105">
        <v>110</v>
      </c>
      <c r="B7" s="106" t="s">
        <v>240</v>
      </c>
      <c r="C7" s="107" t="s">
        <v>43</v>
      </c>
      <c r="D7" s="108" t="s">
        <v>48</v>
      </c>
      <c r="E7" s="106" t="s">
        <v>263</v>
      </c>
      <c r="F7" s="109">
        <v>1</v>
      </c>
      <c r="G7" s="109">
        <v>1</v>
      </c>
      <c r="H7" s="109" t="s">
        <v>242</v>
      </c>
      <c r="I7" s="110">
        <v>45748</v>
      </c>
      <c r="J7" s="110">
        <v>46022</v>
      </c>
      <c r="K7" s="110">
        <v>45748</v>
      </c>
      <c r="L7" s="110">
        <v>46387</v>
      </c>
      <c r="M7" s="111">
        <v>45869</v>
      </c>
      <c r="N7" s="111">
        <v>45961</v>
      </c>
      <c r="O7" s="111">
        <v>46053</v>
      </c>
      <c r="P7" s="112"/>
      <c r="Q7" s="113" t="s">
        <v>264</v>
      </c>
      <c r="R7" s="113"/>
      <c r="S7" s="114" t="s">
        <v>265</v>
      </c>
      <c r="T7" s="115" t="s">
        <v>266</v>
      </c>
      <c r="U7" s="116">
        <v>150039743</v>
      </c>
      <c r="V7" s="116">
        <v>142112918</v>
      </c>
      <c r="W7" s="116">
        <v>7926825</v>
      </c>
      <c r="X7" s="106" t="s">
        <v>245</v>
      </c>
      <c r="Y7" s="117" t="s">
        <v>251</v>
      </c>
      <c r="Z7" s="117">
        <v>215</v>
      </c>
      <c r="AA7" s="117">
        <v>3</v>
      </c>
      <c r="AB7" s="117">
        <v>0</v>
      </c>
      <c r="AC7" s="117">
        <v>38</v>
      </c>
      <c r="AD7" s="118">
        <v>0.98604651162790702</v>
      </c>
      <c r="AE7" s="117" t="s">
        <v>35</v>
      </c>
      <c r="AF7" s="117" t="s">
        <v>35</v>
      </c>
      <c r="AG7" s="117"/>
      <c r="AH7" s="106"/>
      <c r="AI7" s="106"/>
      <c r="AJ7" s="106"/>
      <c r="AK7" s="119"/>
      <c r="AL7" s="119"/>
    </row>
    <row r="8" spans="1:38" ht="33" x14ac:dyDescent="0.3">
      <c r="A8" s="105">
        <v>111</v>
      </c>
      <c r="B8" s="106" t="s">
        <v>240</v>
      </c>
      <c r="C8" s="107" t="s">
        <v>43</v>
      </c>
      <c r="D8" s="108" t="s">
        <v>48</v>
      </c>
      <c r="E8" s="106" t="s">
        <v>49</v>
      </c>
      <c r="F8" s="109">
        <v>1</v>
      </c>
      <c r="G8" s="109">
        <v>1</v>
      </c>
      <c r="H8" s="109" t="s">
        <v>242</v>
      </c>
      <c r="I8" s="110">
        <v>45748</v>
      </c>
      <c r="J8" s="110">
        <v>46022</v>
      </c>
      <c r="K8" s="110">
        <v>45748</v>
      </c>
      <c r="L8" s="110">
        <v>46387</v>
      </c>
      <c r="M8" s="111">
        <v>45869</v>
      </c>
      <c r="N8" s="111">
        <v>45961</v>
      </c>
      <c r="O8" s="111">
        <v>46053</v>
      </c>
      <c r="P8" s="112"/>
      <c r="Q8" s="113" t="s">
        <v>50</v>
      </c>
      <c r="R8" s="113"/>
      <c r="S8" s="114" t="s">
        <v>267</v>
      </c>
      <c r="T8" s="115" t="s">
        <v>51</v>
      </c>
      <c r="U8" s="116">
        <v>302463921</v>
      </c>
      <c r="V8" s="116">
        <v>294220604</v>
      </c>
      <c r="W8" s="116">
        <v>8243317</v>
      </c>
      <c r="X8" s="106" t="s">
        <v>253</v>
      </c>
      <c r="Y8" s="117" t="s">
        <v>246</v>
      </c>
      <c r="Z8" s="117">
        <v>69</v>
      </c>
      <c r="AA8" s="117">
        <v>0</v>
      </c>
      <c r="AB8" s="117">
        <v>0</v>
      </c>
      <c r="AC8" s="117">
        <v>0</v>
      </c>
      <c r="AD8" s="118">
        <v>1</v>
      </c>
      <c r="AE8" s="117" t="s">
        <v>35</v>
      </c>
      <c r="AF8" s="117" t="s">
        <v>35</v>
      </c>
      <c r="AG8" s="117"/>
      <c r="AH8" s="106"/>
      <c r="AI8" s="106"/>
      <c r="AJ8" s="106"/>
      <c r="AK8" s="119"/>
      <c r="AL8" s="119"/>
    </row>
    <row r="9" spans="1:38" ht="66" x14ac:dyDescent="0.3">
      <c r="A9" s="105">
        <v>112</v>
      </c>
      <c r="B9" s="106" t="s">
        <v>240</v>
      </c>
      <c r="C9" s="107" t="s">
        <v>43</v>
      </c>
      <c r="D9" s="108" t="s">
        <v>48</v>
      </c>
      <c r="E9" s="106" t="s">
        <v>268</v>
      </c>
      <c r="F9" s="109">
        <v>1</v>
      </c>
      <c r="G9" s="109">
        <v>1</v>
      </c>
      <c r="H9" s="109" t="s">
        <v>242</v>
      </c>
      <c r="I9" s="110">
        <v>45748</v>
      </c>
      <c r="J9" s="110">
        <v>46022</v>
      </c>
      <c r="K9" s="110">
        <v>45748</v>
      </c>
      <c r="L9" s="110">
        <v>46387</v>
      </c>
      <c r="M9" s="111">
        <v>45869</v>
      </c>
      <c r="N9" s="111">
        <v>45961</v>
      </c>
      <c r="O9" s="111">
        <v>46053</v>
      </c>
      <c r="P9" s="112"/>
      <c r="Q9" s="113" t="s">
        <v>269</v>
      </c>
      <c r="R9" s="113"/>
      <c r="S9" s="114" t="s">
        <v>270</v>
      </c>
      <c r="T9" s="115" t="s">
        <v>271</v>
      </c>
      <c r="U9" s="116">
        <v>100863916</v>
      </c>
      <c r="V9" s="116">
        <v>100370216</v>
      </c>
      <c r="W9" s="116">
        <v>493700</v>
      </c>
      <c r="X9" s="106" t="s">
        <v>245</v>
      </c>
      <c r="Y9" s="117" t="s">
        <v>246</v>
      </c>
      <c r="Z9" s="117">
        <v>113</v>
      </c>
      <c r="AA9" s="117">
        <v>0</v>
      </c>
      <c r="AB9" s="117">
        <v>0</v>
      </c>
      <c r="AC9" s="117">
        <v>0</v>
      </c>
      <c r="AD9" s="118">
        <v>1</v>
      </c>
      <c r="AE9" s="117" t="s">
        <v>35</v>
      </c>
      <c r="AF9" s="117" t="s">
        <v>35</v>
      </c>
      <c r="AG9" s="117"/>
      <c r="AH9" s="106"/>
      <c r="AI9" s="106"/>
      <c r="AJ9" s="106"/>
      <c r="AK9" s="119"/>
      <c r="AL9" s="119"/>
    </row>
    <row r="10" spans="1:38" ht="33" x14ac:dyDescent="0.3">
      <c r="A10" s="105">
        <v>224</v>
      </c>
      <c r="B10" s="106" t="s">
        <v>240</v>
      </c>
      <c r="C10" s="107" t="s">
        <v>43</v>
      </c>
      <c r="D10" s="108" t="s">
        <v>52</v>
      </c>
      <c r="E10" s="106" t="s">
        <v>272</v>
      </c>
      <c r="F10" s="109">
        <v>1</v>
      </c>
      <c r="G10" s="109">
        <v>1</v>
      </c>
      <c r="H10" s="109" t="s">
        <v>242</v>
      </c>
      <c r="I10" s="110">
        <v>45748</v>
      </c>
      <c r="J10" s="110">
        <v>46022</v>
      </c>
      <c r="K10" s="110">
        <v>45748</v>
      </c>
      <c r="L10" s="110">
        <v>46387</v>
      </c>
      <c r="M10" s="111">
        <v>45869</v>
      </c>
      <c r="N10" s="111">
        <v>45961</v>
      </c>
      <c r="O10" s="111">
        <v>46053</v>
      </c>
      <c r="P10" s="112"/>
      <c r="Q10" s="113" t="s">
        <v>273</v>
      </c>
      <c r="R10" s="113"/>
      <c r="S10" s="114" t="s">
        <v>274</v>
      </c>
      <c r="T10" s="115" t="s">
        <v>275</v>
      </c>
      <c r="U10" s="116">
        <v>94000000</v>
      </c>
      <c r="V10" s="116">
        <v>93920000</v>
      </c>
      <c r="W10" s="116">
        <v>80000</v>
      </c>
      <c r="X10" s="106" t="s">
        <v>245</v>
      </c>
      <c r="Y10" s="117" t="s">
        <v>246</v>
      </c>
      <c r="Z10" s="117">
        <v>67</v>
      </c>
      <c r="AA10" s="117">
        <v>0</v>
      </c>
      <c r="AB10" s="117">
        <v>0</v>
      </c>
      <c r="AC10" s="117">
        <v>0</v>
      </c>
      <c r="AD10" s="118">
        <v>1</v>
      </c>
      <c r="AE10" s="117" t="s">
        <v>35</v>
      </c>
      <c r="AF10" s="117" t="s">
        <v>35</v>
      </c>
      <c r="AG10" s="117"/>
      <c r="AH10" s="106"/>
      <c r="AI10" s="106"/>
      <c r="AJ10" s="106"/>
      <c r="AK10" s="119"/>
      <c r="AL10" s="119"/>
    </row>
    <row r="11" spans="1:38" ht="66" x14ac:dyDescent="0.3">
      <c r="A11" s="105">
        <v>225</v>
      </c>
      <c r="B11" s="106" t="s">
        <v>240</v>
      </c>
      <c r="C11" s="107" t="s">
        <v>43</v>
      </c>
      <c r="D11" s="108" t="s">
        <v>52</v>
      </c>
      <c r="E11" s="106" t="s">
        <v>276</v>
      </c>
      <c r="F11" s="109">
        <v>1</v>
      </c>
      <c r="G11" s="109">
        <v>1</v>
      </c>
      <c r="H11" s="109" t="s">
        <v>242</v>
      </c>
      <c r="I11" s="110">
        <v>45748</v>
      </c>
      <c r="J11" s="110">
        <v>46022</v>
      </c>
      <c r="K11" s="110">
        <v>45748</v>
      </c>
      <c r="L11" s="110">
        <v>46387</v>
      </c>
      <c r="M11" s="111">
        <v>45869</v>
      </c>
      <c r="N11" s="111">
        <v>45961</v>
      </c>
      <c r="O11" s="111">
        <v>46053</v>
      </c>
      <c r="P11" s="112"/>
      <c r="Q11" s="113" t="s">
        <v>277</v>
      </c>
      <c r="R11" s="113"/>
      <c r="S11" s="114" t="s">
        <v>278</v>
      </c>
      <c r="T11" s="115" t="s">
        <v>279</v>
      </c>
      <c r="U11" s="116">
        <v>200000000</v>
      </c>
      <c r="V11" s="116">
        <v>164785165</v>
      </c>
      <c r="W11" s="116">
        <v>35214835</v>
      </c>
      <c r="X11" s="106" t="s">
        <v>280</v>
      </c>
      <c r="Y11" s="117" t="s">
        <v>246</v>
      </c>
      <c r="Z11" s="117">
        <v>284</v>
      </c>
      <c r="AA11" s="117">
        <v>84</v>
      </c>
      <c r="AB11" s="117">
        <v>0</v>
      </c>
      <c r="AC11" s="117">
        <v>0</v>
      </c>
      <c r="AD11" s="118">
        <v>0.70422535211267601</v>
      </c>
      <c r="AE11" s="117" t="s">
        <v>35</v>
      </c>
      <c r="AF11" s="117" t="s">
        <v>35</v>
      </c>
      <c r="AG11" s="117"/>
      <c r="AH11" s="106"/>
      <c r="AI11" s="106"/>
      <c r="AJ11" s="106"/>
      <c r="AK11" s="119"/>
      <c r="AL11" s="119"/>
    </row>
    <row r="12" spans="1:38" ht="66" x14ac:dyDescent="0.3">
      <c r="A12" s="105">
        <v>226</v>
      </c>
      <c r="B12" s="106" t="s">
        <v>240</v>
      </c>
      <c r="C12" s="107" t="s">
        <v>43</v>
      </c>
      <c r="D12" s="108" t="s">
        <v>52</v>
      </c>
      <c r="E12" s="106" t="s">
        <v>53</v>
      </c>
      <c r="F12" s="109">
        <v>1</v>
      </c>
      <c r="G12" s="109">
        <v>1</v>
      </c>
      <c r="H12" s="109" t="s">
        <v>242</v>
      </c>
      <c r="I12" s="110">
        <v>45748</v>
      </c>
      <c r="J12" s="110">
        <v>46022</v>
      </c>
      <c r="K12" s="110">
        <v>45748</v>
      </c>
      <c r="L12" s="110">
        <v>46387</v>
      </c>
      <c r="M12" s="111">
        <v>45869</v>
      </c>
      <c r="N12" s="111">
        <v>45961</v>
      </c>
      <c r="O12" s="111">
        <v>46053</v>
      </c>
      <c r="P12" s="112"/>
      <c r="Q12" s="113" t="s">
        <v>54</v>
      </c>
      <c r="R12" s="113"/>
      <c r="S12" s="114" t="s">
        <v>281</v>
      </c>
      <c r="T12" s="115" t="s">
        <v>55</v>
      </c>
      <c r="U12" s="116">
        <v>286000000</v>
      </c>
      <c r="V12" s="116">
        <v>271515719</v>
      </c>
      <c r="W12" s="116">
        <v>14484281</v>
      </c>
      <c r="X12" s="106" t="s">
        <v>253</v>
      </c>
      <c r="Y12" s="117" t="s">
        <v>251</v>
      </c>
      <c r="Z12" s="117">
        <v>235</v>
      </c>
      <c r="AA12" s="117">
        <v>0</v>
      </c>
      <c r="AB12" s="117">
        <v>0</v>
      </c>
      <c r="AC12" s="117">
        <v>136</v>
      </c>
      <c r="AD12" s="118">
        <v>1</v>
      </c>
      <c r="AE12" s="117" t="s">
        <v>35</v>
      </c>
      <c r="AF12" s="117" t="s">
        <v>35</v>
      </c>
      <c r="AG12" s="117"/>
      <c r="AH12" s="106"/>
      <c r="AI12" s="106"/>
      <c r="AJ12" s="106"/>
      <c r="AK12" s="119"/>
      <c r="AL12" s="119"/>
    </row>
    <row r="13" spans="1:38" ht="66" x14ac:dyDescent="0.3">
      <c r="A13" s="105">
        <v>227</v>
      </c>
      <c r="B13" s="106" t="s">
        <v>240</v>
      </c>
      <c r="C13" s="107" t="s">
        <v>43</v>
      </c>
      <c r="D13" s="108" t="s">
        <v>52</v>
      </c>
      <c r="E13" s="106" t="s">
        <v>282</v>
      </c>
      <c r="F13" s="109">
        <v>1</v>
      </c>
      <c r="G13" s="109">
        <v>1</v>
      </c>
      <c r="H13" s="109" t="s">
        <v>242</v>
      </c>
      <c r="I13" s="110">
        <v>45748</v>
      </c>
      <c r="J13" s="110">
        <v>46022</v>
      </c>
      <c r="K13" s="110">
        <v>45748</v>
      </c>
      <c r="L13" s="110">
        <v>46387</v>
      </c>
      <c r="M13" s="111">
        <v>45869</v>
      </c>
      <c r="N13" s="111">
        <v>45961</v>
      </c>
      <c r="O13" s="111">
        <v>46053</v>
      </c>
      <c r="P13" s="112"/>
      <c r="Q13" s="113" t="s">
        <v>283</v>
      </c>
      <c r="R13" s="113"/>
      <c r="S13" s="114" t="s">
        <v>284</v>
      </c>
      <c r="T13" s="115" t="s">
        <v>285</v>
      </c>
      <c r="U13" s="116">
        <v>43000000</v>
      </c>
      <c r="V13" s="116">
        <v>26197789</v>
      </c>
      <c r="W13" s="116">
        <v>16802211</v>
      </c>
      <c r="X13" s="106" t="s">
        <v>245</v>
      </c>
      <c r="Y13" s="117" t="s">
        <v>286</v>
      </c>
      <c r="Z13" s="117">
        <v>104</v>
      </c>
      <c r="AA13" s="117">
        <v>0</v>
      </c>
      <c r="AB13" s="117">
        <v>0</v>
      </c>
      <c r="AC13" s="117">
        <v>53</v>
      </c>
      <c r="AD13" s="118">
        <v>1</v>
      </c>
      <c r="AE13" s="117" t="s">
        <v>35</v>
      </c>
      <c r="AF13" s="117" t="s">
        <v>35</v>
      </c>
      <c r="AG13" s="117"/>
      <c r="AH13" s="106"/>
      <c r="AI13" s="106"/>
      <c r="AJ13" s="106"/>
      <c r="AK13" s="119"/>
      <c r="AL13" s="119"/>
    </row>
    <row r="14" spans="1:38" ht="66" x14ac:dyDescent="0.3">
      <c r="A14" s="105">
        <v>345</v>
      </c>
      <c r="B14" s="106" t="s">
        <v>240</v>
      </c>
      <c r="C14" s="107" t="s">
        <v>43</v>
      </c>
      <c r="D14" s="108" t="s">
        <v>56</v>
      </c>
      <c r="E14" s="106" t="s">
        <v>287</v>
      </c>
      <c r="F14" s="109">
        <v>1</v>
      </c>
      <c r="G14" s="109">
        <v>1</v>
      </c>
      <c r="H14" s="109" t="s">
        <v>242</v>
      </c>
      <c r="I14" s="110">
        <v>45748</v>
      </c>
      <c r="J14" s="110">
        <v>46022</v>
      </c>
      <c r="K14" s="110">
        <v>45748</v>
      </c>
      <c r="L14" s="110">
        <v>46387</v>
      </c>
      <c r="M14" s="111">
        <v>45869</v>
      </c>
      <c r="N14" s="111">
        <v>45961</v>
      </c>
      <c r="O14" s="111">
        <v>46053</v>
      </c>
      <c r="P14" s="112"/>
      <c r="Q14" s="113" t="s">
        <v>288</v>
      </c>
      <c r="R14" s="113"/>
      <c r="S14" s="114" t="s">
        <v>289</v>
      </c>
      <c r="T14" s="115" t="s">
        <v>290</v>
      </c>
      <c r="U14" s="116">
        <v>130000000</v>
      </c>
      <c r="V14" s="116">
        <v>96932641</v>
      </c>
      <c r="W14" s="116">
        <v>33067359</v>
      </c>
      <c r="X14" s="106" t="s">
        <v>245</v>
      </c>
      <c r="Y14" s="117" t="s">
        <v>246</v>
      </c>
      <c r="Z14" s="117">
        <v>48</v>
      </c>
      <c r="AA14" s="117">
        <v>0</v>
      </c>
      <c r="AB14" s="117">
        <v>0</v>
      </c>
      <c r="AC14" s="117">
        <v>0</v>
      </c>
      <c r="AD14" s="118">
        <v>1</v>
      </c>
      <c r="AE14" s="117" t="s">
        <v>35</v>
      </c>
      <c r="AF14" s="117" t="s">
        <v>35</v>
      </c>
      <c r="AG14" s="117"/>
      <c r="AH14" s="106"/>
      <c r="AI14" s="106"/>
      <c r="AJ14" s="106"/>
      <c r="AK14" s="119"/>
      <c r="AL14" s="119"/>
    </row>
    <row r="15" spans="1:38" ht="49.5" x14ac:dyDescent="0.3">
      <c r="A15" s="105">
        <v>346</v>
      </c>
      <c r="B15" s="106" t="s">
        <v>240</v>
      </c>
      <c r="C15" s="107" t="s">
        <v>43</v>
      </c>
      <c r="D15" s="108" t="s">
        <v>56</v>
      </c>
      <c r="E15" s="106" t="s">
        <v>57</v>
      </c>
      <c r="F15" s="109">
        <v>1</v>
      </c>
      <c r="G15" s="109">
        <v>1</v>
      </c>
      <c r="H15" s="109" t="s">
        <v>242</v>
      </c>
      <c r="I15" s="110">
        <v>45748</v>
      </c>
      <c r="J15" s="110">
        <v>46022</v>
      </c>
      <c r="K15" s="110">
        <v>45748</v>
      </c>
      <c r="L15" s="110">
        <v>46387</v>
      </c>
      <c r="M15" s="111">
        <v>45869</v>
      </c>
      <c r="N15" s="111">
        <v>45961</v>
      </c>
      <c r="O15" s="111">
        <v>46053</v>
      </c>
      <c r="P15" s="112"/>
      <c r="Q15" s="113" t="s">
        <v>58</v>
      </c>
      <c r="R15" s="113"/>
      <c r="S15" s="114" t="s">
        <v>291</v>
      </c>
      <c r="T15" s="115" t="s">
        <v>59</v>
      </c>
      <c r="U15" s="116">
        <v>140221855</v>
      </c>
      <c r="V15" s="116">
        <v>133445658</v>
      </c>
      <c r="W15" s="116">
        <v>6776197</v>
      </c>
      <c r="X15" s="106" t="s">
        <v>253</v>
      </c>
      <c r="Y15" s="117" t="s">
        <v>251</v>
      </c>
      <c r="Z15" s="117">
        <v>131</v>
      </c>
      <c r="AA15" s="117">
        <v>0</v>
      </c>
      <c r="AB15" s="117">
        <v>0</v>
      </c>
      <c r="AC15" s="117">
        <v>28</v>
      </c>
      <c r="AD15" s="118">
        <v>1</v>
      </c>
      <c r="AE15" s="117" t="s">
        <v>35</v>
      </c>
      <c r="AF15" s="117" t="s">
        <v>35</v>
      </c>
      <c r="AG15" s="117"/>
      <c r="AH15" s="106"/>
      <c r="AI15" s="106"/>
      <c r="AJ15" s="106"/>
      <c r="AK15" s="119"/>
      <c r="AL15" s="119"/>
    </row>
    <row r="16" spans="1:38" ht="66" x14ac:dyDescent="0.3">
      <c r="A16" s="105">
        <v>347</v>
      </c>
      <c r="B16" s="106" t="s">
        <v>240</v>
      </c>
      <c r="C16" s="107" t="s">
        <v>43</v>
      </c>
      <c r="D16" s="108" t="s">
        <v>56</v>
      </c>
      <c r="E16" s="106" t="s">
        <v>292</v>
      </c>
      <c r="F16" s="109">
        <v>1</v>
      </c>
      <c r="G16" s="109">
        <v>1</v>
      </c>
      <c r="H16" s="109" t="s">
        <v>242</v>
      </c>
      <c r="I16" s="110">
        <v>45748</v>
      </c>
      <c r="J16" s="110">
        <v>46022</v>
      </c>
      <c r="K16" s="110">
        <v>45748</v>
      </c>
      <c r="L16" s="110">
        <v>46387</v>
      </c>
      <c r="M16" s="111">
        <v>45869</v>
      </c>
      <c r="N16" s="111">
        <v>45961</v>
      </c>
      <c r="O16" s="111">
        <v>46053</v>
      </c>
      <c r="P16" s="112"/>
      <c r="Q16" s="113" t="s">
        <v>293</v>
      </c>
      <c r="R16" s="113"/>
      <c r="S16" s="114" t="s">
        <v>294</v>
      </c>
      <c r="T16" s="115" t="s">
        <v>295</v>
      </c>
      <c r="U16" s="116">
        <v>30002216</v>
      </c>
      <c r="V16" s="116">
        <v>30000000</v>
      </c>
      <c r="W16" s="116">
        <v>2216</v>
      </c>
      <c r="X16" s="106" t="s">
        <v>245</v>
      </c>
      <c r="Y16" s="117" t="s">
        <v>246</v>
      </c>
      <c r="Z16" s="117">
        <v>8</v>
      </c>
      <c r="AA16" s="117">
        <v>0</v>
      </c>
      <c r="AB16" s="117">
        <v>0</v>
      </c>
      <c r="AC16" s="117">
        <v>0</v>
      </c>
      <c r="AD16" s="118">
        <v>1</v>
      </c>
      <c r="AE16" s="117" t="s">
        <v>35</v>
      </c>
      <c r="AF16" s="117" t="s">
        <v>35</v>
      </c>
      <c r="AG16" s="117"/>
      <c r="AH16" s="106"/>
      <c r="AI16" s="106"/>
      <c r="AJ16" s="106"/>
      <c r="AK16" s="119"/>
      <c r="AL16" s="119"/>
    </row>
    <row r="17" spans="1:38" ht="66" x14ac:dyDescent="0.3">
      <c r="A17" s="105">
        <v>363</v>
      </c>
      <c r="B17" s="106" t="s">
        <v>240</v>
      </c>
      <c r="C17" s="107" t="s">
        <v>43</v>
      </c>
      <c r="D17" s="108" t="s">
        <v>60</v>
      </c>
      <c r="E17" s="106" t="s">
        <v>296</v>
      </c>
      <c r="F17" s="109">
        <v>1</v>
      </c>
      <c r="G17" s="109">
        <v>1</v>
      </c>
      <c r="H17" s="109" t="s">
        <v>242</v>
      </c>
      <c r="I17" s="110">
        <v>45748</v>
      </c>
      <c r="J17" s="110">
        <v>46022</v>
      </c>
      <c r="K17" s="110">
        <v>45748</v>
      </c>
      <c r="L17" s="110">
        <v>46387</v>
      </c>
      <c r="M17" s="111">
        <v>45869</v>
      </c>
      <c r="N17" s="111">
        <v>45961</v>
      </c>
      <c r="O17" s="111">
        <v>46053</v>
      </c>
      <c r="P17" s="112"/>
      <c r="Q17" s="113" t="s">
        <v>205</v>
      </c>
      <c r="R17" s="113"/>
      <c r="S17" s="114" t="s">
        <v>297</v>
      </c>
      <c r="T17" s="115" t="s">
        <v>298</v>
      </c>
      <c r="U17" s="116">
        <v>150011700</v>
      </c>
      <c r="V17" s="116">
        <v>149816404</v>
      </c>
      <c r="W17" s="116">
        <v>195296</v>
      </c>
      <c r="X17" s="106" t="s">
        <v>245</v>
      </c>
      <c r="Y17" s="117" t="s">
        <v>251</v>
      </c>
      <c r="Z17" s="117">
        <v>110</v>
      </c>
      <c r="AA17" s="117">
        <v>0</v>
      </c>
      <c r="AB17" s="117">
        <v>0</v>
      </c>
      <c r="AC17" s="117">
        <v>73</v>
      </c>
      <c r="AD17" s="118">
        <v>1</v>
      </c>
      <c r="AE17" s="117" t="s">
        <v>35</v>
      </c>
      <c r="AF17" s="117" t="s">
        <v>35</v>
      </c>
      <c r="AG17" s="117"/>
      <c r="AH17" s="106"/>
      <c r="AI17" s="106"/>
      <c r="AJ17" s="106"/>
      <c r="AK17" s="119"/>
      <c r="AL17" s="119"/>
    </row>
    <row r="18" spans="1:38" ht="49.5" x14ac:dyDescent="0.3">
      <c r="A18" s="105">
        <v>364</v>
      </c>
      <c r="B18" s="106" t="s">
        <v>240</v>
      </c>
      <c r="C18" s="107" t="s">
        <v>43</v>
      </c>
      <c r="D18" s="108" t="s">
        <v>60</v>
      </c>
      <c r="E18" s="106" t="s">
        <v>299</v>
      </c>
      <c r="F18" s="109">
        <v>1</v>
      </c>
      <c r="G18" s="109">
        <v>1</v>
      </c>
      <c r="H18" s="109" t="s">
        <v>242</v>
      </c>
      <c r="I18" s="110">
        <v>45748</v>
      </c>
      <c r="J18" s="110">
        <v>46022</v>
      </c>
      <c r="K18" s="110">
        <v>45748</v>
      </c>
      <c r="L18" s="110">
        <v>46387</v>
      </c>
      <c r="M18" s="111">
        <v>45869</v>
      </c>
      <c r="N18" s="111">
        <v>45961</v>
      </c>
      <c r="O18" s="111">
        <v>46053</v>
      </c>
      <c r="P18" s="112"/>
      <c r="Q18" s="113" t="s">
        <v>300</v>
      </c>
      <c r="R18" s="113"/>
      <c r="S18" s="114" t="s">
        <v>301</v>
      </c>
      <c r="T18" s="115" t="s">
        <v>302</v>
      </c>
      <c r="U18" s="116">
        <v>37500000</v>
      </c>
      <c r="V18" s="116">
        <v>26374800</v>
      </c>
      <c r="W18" s="116">
        <v>11125200</v>
      </c>
      <c r="X18" s="106" t="s">
        <v>303</v>
      </c>
      <c r="Y18" s="117" t="s">
        <v>246</v>
      </c>
      <c r="Z18" s="117">
        <v>13</v>
      </c>
      <c r="AA18" s="117">
        <v>0</v>
      </c>
      <c r="AB18" s="117">
        <v>0</v>
      </c>
      <c r="AC18" s="117">
        <v>0</v>
      </c>
      <c r="AD18" s="118">
        <v>1</v>
      </c>
      <c r="AE18" s="117" t="s">
        <v>35</v>
      </c>
      <c r="AF18" s="117" t="s">
        <v>35</v>
      </c>
      <c r="AG18" s="117"/>
      <c r="AH18" s="106"/>
      <c r="AI18" s="106"/>
      <c r="AJ18" s="106"/>
      <c r="AK18" s="119"/>
      <c r="AL18" s="119"/>
    </row>
    <row r="19" spans="1:38" ht="49.5" x14ac:dyDescent="0.3">
      <c r="A19" s="105">
        <v>365</v>
      </c>
      <c r="B19" s="106" t="s">
        <v>240</v>
      </c>
      <c r="C19" s="107" t="s">
        <v>43</v>
      </c>
      <c r="D19" s="108" t="s">
        <v>60</v>
      </c>
      <c r="E19" s="106" t="s">
        <v>61</v>
      </c>
      <c r="F19" s="109">
        <v>1</v>
      </c>
      <c r="G19" s="109">
        <v>1</v>
      </c>
      <c r="H19" s="109" t="s">
        <v>242</v>
      </c>
      <c r="I19" s="110">
        <v>45748</v>
      </c>
      <c r="J19" s="110">
        <v>46022</v>
      </c>
      <c r="K19" s="110">
        <v>45748</v>
      </c>
      <c r="L19" s="110">
        <v>46387</v>
      </c>
      <c r="M19" s="111">
        <v>45869</v>
      </c>
      <c r="N19" s="111">
        <v>45961</v>
      </c>
      <c r="O19" s="111">
        <v>46053</v>
      </c>
      <c r="P19" s="112"/>
      <c r="Q19" s="113" t="s">
        <v>62</v>
      </c>
      <c r="R19" s="113"/>
      <c r="S19" s="114" t="s">
        <v>243</v>
      </c>
      <c r="T19" s="115" t="s">
        <v>63</v>
      </c>
      <c r="U19" s="116">
        <v>263827974</v>
      </c>
      <c r="V19" s="116">
        <v>142109450</v>
      </c>
      <c r="W19" s="116">
        <v>121718524</v>
      </c>
      <c r="X19" s="106" t="s">
        <v>253</v>
      </c>
      <c r="Y19" s="117" t="s">
        <v>246</v>
      </c>
      <c r="Z19" s="117">
        <v>60</v>
      </c>
      <c r="AA19" s="117">
        <v>0</v>
      </c>
      <c r="AB19" s="117">
        <v>0</v>
      </c>
      <c r="AC19" s="117">
        <v>0</v>
      </c>
      <c r="AD19" s="118">
        <v>1</v>
      </c>
      <c r="AE19" s="117" t="s">
        <v>35</v>
      </c>
      <c r="AF19" s="117" t="s">
        <v>35</v>
      </c>
      <c r="AG19" s="117"/>
      <c r="AH19" s="106"/>
      <c r="AI19" s="106"/>
      <c r="AJ19" s="106"/>
      <c r="AK19" s="119"/>
      <c r="AL19" s="119"/>
    </row>
    <row r="20" spans="1:38" ht="66" x14ac:dyDescent="0.3">
      <c r="A20" s="105">
        <v>387</v>
      </c>
      <c r="B20" s="106" t="s">
        <v>240</v>
      </c>
      <c r="C20" s="107" t="s">
        <v>43</v>
      </c>
      <c r="D20" s="108" t="s">
        <v>65</v>
      </c>
      <c r="E20" s="106" t="s">
        <v>304</v>
      </c>
      <c r="F20" s="109">
        <v>1</v>
      </c>
      <c r="G20" s="109">
        <v>1</v>
      </c>
      <c r="H20" s="109" t="s">
        <v>242</v>
      </c>
      <c r="I20" s="110">
        <v>45748</v>
      </c>
      <c r="J20" s="110">
        <v>46022</v>
      </c>
      <c r="K20" s="110">
        <v>45748</v>
      </c>
      <c r="L20" s="110">
        <v>46387</v>
      </c>
      <c r="M20" s="111">
        <v>45869</v>
      </c>
      <c r="N20" s="111">
        <v>45961</v>
      </c>
      <c r="O20" s="111">
        <v>46053</v>
      </c>
      <c r="P20" s="112"/>
      <c r="Q20" s="113" t="s">
        <v>305</v>
      </c>
      <c r="R20" s="113"/>
      <c r="S20" s="114" t="s">
        <v>306</v>
      </c>
      <c r="T20" s="115" t="s">
        <v>307</v>
      </c>
      <c r="U20" s="116">
        <v>187683606</v>
      </c>
      <c r="V20" s="116">
        <v>129774373</v>
      </c>
      <c r="W20" s="116">
        <v>57909233</v>
      </c>
      <c r="X20" s="106" t="s">
        <v>245</v>
      </c>
      <c r="Y20" s="117" t="s">
        <v>251</v>
      </c>
      <c r="Z20" s="117">
        <v>86</v>
      </c>
      <c r="AA20" s="117">
        <v>0</v>
      </c>
      <c r="AB20" s="117">
        <v>0</v>
      </c>
      <c r="AC20" s="117">
        <v>2</v>
      </c>
      <c r="AD20" s="118">
        <v>1</v>
      </c>
      <c r="AE20" s="117" t="s">
        <v>35</v>
      </c>
      <c r="AF20" s="117" t="s">
        <v>35</v>
      </c>
      <c r="AG20" s="117"/>
      <c r="AH20" s="106"/>
      <c r="AI20" s="106"/>
      <c r="AJ20" s="106"/>
      <c r="AK20" s="119"/>
      <c r="AL20" s="119"/>
    </row>
    <row r="21" spans="1:38" ht="66" x14ac:dyDescent="0.3">
      <c r="A21" s="105">
        <v>388</v>
      </c>
      <c r="B21" s="106" t="s">
        <v>240</v>
      </c>
      <c r="C21" s="107" t="s">
        <v>43</v>
      </c>
      <c r="D21" s="108" t="s">
        <v>65</v>
      </c>
      <c r="E21" s="106" t="s">
        <v>308</v>
      </c>
      <c r="F21" s="109">
        <v>1</v>
      </c>
      <c r="G21" s="109">
        <v>1</v>
      </c>
      <c r="H21" s="109" t="s">
        <v>242</v>
      </c>
      <c r="I21" s="110">
        <v>45748</v>
      </c>
      <c r="J21" s="110">
        <v>46022</v>
      </c>
      <c r="K21" s="110">
        <v>45748</v>
      </c>
      <c r="L21" s="110">
        <v>46387</v>
      </c>
      <c r="M21" s="111">
        <v>45869</v>
      </c>
      <c r="N21" s="111">
        <v>45961</v>
      </c>
      <c r="O21" s="111">
        <v>46053</v>
      </c>
      <c r="P21" s="112"/>
      <c r="Q21" s="113" t="s">
        <v>309</v>
      </c>
      <c r="R21" s="113"/>
      <c r="S21" s="114" t="s">
        <v>310</v>
      </c>
      <c r="T21" s="115" t="s">
        <v>311</v>
      </c>
      <c r="U21" s="116">
        <v>128700000</v>
      </c>
      <c r="V21" s="116">
        <v>92800604</v>
      </c>
      <c r="W21" s="116">
        <v>35899396</v>
      </c>
      <c r="X21" s="106" t="s">
        <v>245</v>
      </c>
      <c r="Y21" s="117" t="s">
        <v>251</v>
      </c>
      <c r="Z21" s="117">
        <v>41</v>
      </c>
      <c r="AA21" s="117">
        <v>0</v>
      </c>
      <c r="AB21" s="117">
        <v>0</v>
      </c>
      <c r="AC21" s="117">
        <v>15</v>
      </c>
      <c r="AD21" s="118">
        <v>1</v>
      </c>
      <c r="AE21" s="117" t="s">
        <v>35</v>
      </c>
      <c r="AF21" s="117" t="s">
        <v>35</v>
      </c>
      <c r="AG21" s="117"/>
      <c r="AH21" s="106"/>
      <c r="AI21" s="106"/>
      <c r="AJ21" s="106"/>
      <c r="AK21" s="119"/>
      <c r="AL21" s="119"/>
    </row>
    <row r="22" spans="1:38" ht="66" x14ac:dyDescent="0.3">
      <c r="A22" s="105">
        <v>389</v>
      </c>
      <c r="B22" s="106" t="s">
        <v>240</v>
      </c>
      <c r="C22" s="107" t="s">
        <v>43</v>
      </c>
      <c r="D22" s="108" t="s">
        <v>65</v>
      </c>
      <c r="E22" s="106" t="s">
        <v>312</v>
      </c>
      <c r="F22" s="109">
        <v>1</v>
      </c>
      <c r="G22" s="109">
        <v>1</v>
      </c>
      <c r="H22" s="109" t="s">
        <v>242</v>
      </c>
      <c r="I22" s="110">
        <v>45748</v>
      </c>
      <c r="J22" s="110">
        <v>46022</v>
      </c>
      <c r="K22" s="110">
        <v>45748</v>
      </c>
      <c r="L22" s="110">
        <v>46387</v>
      </c>
      <c r="M22" s="111">
        <v>45869</v>
      </c>
      <c r="N22" s="111">
        <v>45961</v>
      </c>
      <c r="O22" s="111">
        <v>46053</v>
      </c>
      <c r="P22" s="112"/>
      <c r="Q22" s="113" t="s">
        <v>313</v>
      </c>
      <c r="R22" s="113"/>
      <c r="S22" s="114" t="s">
        <v>314</v>
      </c>
      <c r="T22" s="115" t="s">
        <v>315</v>
      </c>
      <c r="U22" s="116">
        <v>50014090</v>
      </c>
      <c r="V22" s="116">
        <v>50005789</v>
      </c>
      <c r="W22" s="116">
        <v>8301</v>
      </c>
      <c r="X22" s="106" t="s">
        <v>303</v>
      </c>
      <c r="Y22" s="117" t="s">
        <v>251</v>
      </c>
      <c r="Z22" s="117">
        <v>36</v>
      </c>
      <c r="AA22" s="117">
        <v>0</v>
      </c>
      <c r="AB22" s="117">
        <v>2</v>
      </c>
      <c r="AC22" s="117">
        <v>1</v>
      </c>
      <c r="AD22" s="118">
        <v>1</v>
      </c>
      <c r="AE22" s="117" t="s">
        <v>35</v>
      </c>
      <c r="AF22" s="117" t="s">
        <v>35</v>
      </c>
      <c r="AG22" s="117"/>
      <c r="AH22" s="106"/>
      <c r="AI22" s="106"/>
      <c r="AJ22" s="106"/>
      <c r="AK22" s="119"/>
      <c r="AL22" s="119"/>
    </row>
    <row r="23" spans="1:38" ht="66" x14ac:dyDescent="0.3">
      <c r="A23" s="105">
        <v>390</v>
      </c>
      <c r="B23" s="106" t="s">
        <v>240</v>
      </c>
      <c r="C23" s="107" t="s">
        <v>43</v>
      </c>
      <c r="D23" s="108" t="s">
        <v>65</v>
      </c>
      <c r="E23" s="106" t="s">
        <v>316</v>
      </c>
      <c r="F23" s="109">
        <v>1</v>
      </c>
      <c r="G23" s="109">
        <v>1</v>
      </c>
      <c r="H23" s="109" t="s">
        <v>242</v>
      </c>
      <c r="I23" s="110">
        <v>45748</v>
      </c>
      <c r="J23" s="110">
        <v>46022</v>
      </c>
      <c r="K23" s="110">
        <v>45748</v>
      </c>
      <c r="L23" s="110">
        <v>46387</v>
      </c>
      <c r="M23" s="111">
        <v>45869</v>
      </c>
      <c r="N23" s="111">
        <v>45961</v>
      </c>
      <c r="O23" s="111">
        <v>46053</v>
      </c>
      <c r="P23" s="112"/>
      <c r="Q23" s="113" t="s">
        <v>317</v>
      </c>
      <c r="R23" s="113"/>
      <c r="S23" s="114" t="s">
        <v>318</v>
      </c>
      <c r="T23" s="115" t="s">
        <v>319</v>
      </c>
      <c r="U23" s="116">
        <v>130000000</v>
      </c>
      <c r="V23" s="116">
        <v>129921398</v>
      </c>
      <c r="W23" s="116">
        <v>78602</v>
      </c>
      <c r="X23" s="106" t="s">
        <v>245</v>
      </c>
      <c r="Y23" s="117" t="s">
        <v>251</v>
      </c>
      <c r="Z23" s="117">
        <v>166</v>
      </c>
      <c r="AA23" s="117">
        <v>0</v>
      </c>
      <c r="AB23" s="117">
        <v>0</v>
      </c>
      <c r="AC23" s="117">
        <v>58</v>
      </c>
      <c r="AD23" s="118">
        <v>1</v>
      </c>
      <c r="AE23" s="117" t="s">
        <v>35</v>
      </c>
      <c r="AF23" s="117" t="s">
        <v>35</v>
      </c>
      <c r="AG23" s="117"/>
      <c r="AH23" s="106"/>
      <c r="AI23" s="106"/>
      <c r="AJ23" s="106"/>
      <c r="AK23" s="119"/>
      <c r="AL23" s="119"/>
    </row>
    <row r="24" spans="1:38" ht="66" x14ac:dyDescent="0.3">
      <c r="A24" s="105">
        <v>391</v>
      </c>
      <c r="B24" s="106" t="s">
        <v>240</v>
      </c>
      <c r="C24" s="107" t="s">
        <v>43</v>
      </c>
      <c r="D24" s="108" t="s">
        <v>65</v>
      </c>
      <c r="E24" s="106" t="s">
        <v>66</v>
      </c>
      <c r="F24" s="109">
        <v>1</v>
      </c>
      <c r="G24" s="109">
        <v>1</v>
      </c>
      <c r="H24" s="109" t="s">
        <v>242</v>
      </c>
      <c r="I24" s="110">
        <v>45748</v>
      </c>
      <c r="J24" s="110">
        <v>46022</v>
      </c>
      <c r="K24" s="110">
        <v>45748</v>
      </c>
      <c r="L24" s="110">
        <v>46387</v>
      </c>
      <c r="M24" s="111">
        <v>45869</v>
      </c>
      <c r="N24" s="111">
        <v>45961</v>
      </c>
      <c r="O24" s="111">
        <v>46053</v>
      </c>
      <c r="P24" s="112"/>
      <c r="Q24" s="113" t="s">
        <v>67</v>
      </c>
      <c r="R24" s="113"/>
      <c r="S24" s="114" t="s">
        <v>320</v>
      </c>
      <c r="T24" s="115" t="s">
        <v>68</v>
      </c>
      <c r="U24" s="116">
        <v>324665050</v>
      </c>
      <c r="V24" s="116">
        <v>319493833</v>
      </c>
      <c r="W24" s="116">
        <v>5171217</v>
      </c>
      <c r="X24" s="106" t="s">
        <v>253</v>
      </c>
      <c r="Y24" s="117" t="s">
        <v>251</v>
      </c>
      <c r="Z24" s="117">
        <v>177</v>
      </c>
      <c r="AA24" s="117">
        <v>0</v>
      </c>
      <c r="AB24" s="117">
        <v>0</v>
      </c>
      <c r="AC24" s="117">
        <v>13</v>
      </c>
      <c r="AD24" s="118">
        <v>1</v>
      </c>
      <c r="AE24" s="117" t="s">
        <v>35</v>
      </c>
      <c r="AF24" s="117" t="s">
        <v>35</v>
      </c>
      <c r="AG24" s="117"/>
      <c r="AH24" s="106"/>
      <c r="AI24" s="106"/>
      <c r="AJ24" s="106"/>
      <c r="AK24" s="119"/>
      <c r="AL24" s="119"/>
    </row>
    <row r="25" spans="1:38" ht="66" x14ac:dyDescent="0.3">
      <c r="A25" s="105">
        <v>392</v>
      </c>
      <c r="B25" s="106" t="s">
        <v>240</v>
      </c>
      <c r="C25" s="107" t="s">
        <v>43</v>
      </c>
      <c r="D25" s="108" t="s">
        <v>65</v>
      </c>
      <c r="E25" s="106" t="s">
        <v>321</v>
      </c>
      <c r="F25" s="109">
        <v>1</v>
      </c>
      <c r="G25" s="109">
        <v>1</v>
      </c>
      <c r="H25" s="109" t="s">
        <v>242</v>
      </c>
      <c r="I25" s="110">
        <v>45748</v>
      </c>
      <c r="J25" s="110">
        <v>46022</v>
      </c>
      <c r="K25" s="110">
        <v>45748</v>
      </c>
      <c r="L25" s="110">
        <v>46387</v>
      </c>
      <c r="M25" s="111">
        <v>45869</v>
      </c>
      <c r="N25" s="111">
        <v>45961</v>
      </c>
      <c r="O25" s="111">
        <v>46053</v>
      </c>
      <c r="P25" s="112"/>
      <c r="Q25" s="113" t="s">
        <v>322</v>
      </c>
      <c r="R25" s="113"/>
      <c r="S25" s="114" t="s">
        <v>323</v>
      </c>
      <c r="T25" s="115" t="s">
        <v>324</v>
      </c>
      <c r="U25" s="116">
        <v>110000000</v>
      </c>
      <c r="V25" s="116">
        <v>110000000</v>
      </c>
      <c r="W25" s="116">
        <v>0</v>
      </c>
      <c r="X25" s="106" t="s">
        <v>245</v>
      </c>
      <c r="Y25" s="117" t="s">
        <v>246</v>
      </c>
      <c r="Z25" s="117">
        <v>100</v>
      </c>
      <c r="AA25" s="117">
        <v>0</v>
      </c>
      <c r="AB25" s="117">
        <v>0</v>
      </c>
      <c r="AC25" s="117">
        <v>0</v>
      </c>
      <c r="AD25" s="118">
        <v>1</v>
      </c>
      <c r="AE25" s="117" t="s">
        <v>35</v>
      </c>
      <c r="AF25" s="117" t="s">
        <v>35</v>
      </c>
      <c r="AG25" s="117"/>
      <c r="AH25" s="106"/>
      <c r="AI25" s="106"/>
      <c r="AJ25" s="106"/>
      <c r="AK25" s="119"/>
      <c r="AL25" s="119"/>
    </row>
    <row r="26" spans="1:38" ht="49.5" x14ac:dyDescent="0.3">
      <c r="A26" s="105">
        <v>30</v>
      </c>
      <c r="B26" s="106" t="s">
        <v>325</v>
      </c>
      <c r="C26" s="107" t="s">
        <v>43</v>
      </c>
      <c r="D26" s="108" t="s">
        <v>29</v>
      </c>
      <c r="E26" s="106" t="s">
        <v>326</v>
      </c>
      <c r="F26" s="109">
        <v>1</v>
      </c>
      <c r="G26" s="109">
        <v>1</v>
      </c>
      <c r="H26" s="109" t="s">
        <v>242</v>
      </c>
      <c r="I26" s="110">
        <v>45748</v>
      </c>
      <c r="J26" s="110">
        <v>46022</v>
      </c>
      <c r="K26" s="110">
        <v>45748</v>
      </c>
      <c r="L26" s="110">
        <v>46387</v>
      </c>
      <c r="M26" s="111">
        <v>45869</v>
      </c>
      <c r="N26" s="111">
        <v>45961</v>
      </c>
      <c r="O26" s="111">
        <v>46053</v>
      </c>
      <c r="P26" s="112"/>
      <c r="Q26" s="113" t="s">
        <v>327</v>
      </c>
      <c r="R26" s="113"/>
      <c r="S26" s="114" t="s">
        <v>328</v>
      </c>
      <c r="T26" s="115" t="s">
        <v>329</v>
      </c>
      <c r="U26" s="116">
        <v>706667000</v>
      </c>
      <c r="V26" s="116">
        <v>616921107</v>
      </c>
      <c r="W26" s="116">
        <v>89745893</v>
      </c>
      <c r="X26" s="106" t="s">
        <v>245</v>
      </c>
      <c r="Y26" s="117" t="s">
        <v>251</v>
      </c>
      <c r="Z26" s="117">
        <v>650</v>
      </c>
      <c r="AA26" s="117">
        <v>0</v>
      </c>
      <c r="AB26" s="117">
        <v>0</v>
      </c>
      <c r="AC26" s="117">
        <v>233</v>
      </c>
      <c r="AD26" s="118">
        <v>1</v>
      </c>
      <c r="AE26" s="117" t="s">
        <v>35</v>
      </c>
      <c r="AF26" s="117" t="s">
        <v>35</v>
      </c>
      <c r="AG26" s="117"/>
      <c r="AH26" s="106"/>
      <c r="AI26" s="106"/>
      <c r="AJ26" s="106"/>
      <c r="AK26" s="119" t="s">
        <v>35</v>
      </c>
      <c r="AL26" s="119"/>
    </row>
    <row r="27" spans="1:38" ht="49.5" x14ac:dyDescent="0.3">
      <c r="A27" s="105">
        <v>31</v>
      </c>
      <c r="B27" s="106" t="s">
        <v>325</v>
      </c>
      <c r="C27" s="107" t="s">
        <v>43</v>
      </c>
      <c r="D27" s="108" t="s">
        <v>29</v>
      </c>
      <c r="E27" s="106" t="s">
        <v>330</v>
      </c>
      <c r="F27" s="109">
        <v>1</v>
      </c>
      <c r="G27" s="109">
        <v>1</v>
      </c>
      <c r="H27" s="109" t="s">
        <v>242</v>
      </c>
      <c r="I27" s="110">
        <v>45748</v>
      </c>
      <c r="J27" s="110">
        <v>46022</v>
      </c>
      <c r="K27" s="110">
        <v>45748</v>
      </c>
      <c r="L27" s="110">
        <v>46387</v>
      </c>
      <c r="M27" s="111">
        <v>45869</v>
      </c>
      <c r="N27" s="111">
        <v>45961</v>
      </c>
      <c r="O27" s="111">
        <v>46053</v>
      </c>
      <c r="P27" s="112"/>
      <c r="Q27" s="113" t="s">
        <v>331</v>
      </c>
      <c r="R27" s="113"/>
      <c r="S27" s="114" t="s">
        <v>332</v>
      </c>
      <c r="T27" s="115" t="s">
        <v>333</v>
      </c>
      <c r="U27" s="116">
        <v>120000000</v>
      </c>
      <c r="V27" s="116">
        <v>89442989</v>
      </c>
      <c r="W27" s="116">
        <v>30557011</v>
      </c>
      <c r="X27" s="106" t="s">
        <v>245</v>
      </c>
      <c r="Y27" s="117" t="s">
        <v>251</v>
      </c>
      <c r="Z27" s="117">
        <v>145</v>
      </c>
      <c r="AA27" s="117">
        <v>0</v>
      </c>
      <c r="AB27" s="117">
        <v>0</v>
      </c>
      <c r="AC27" s="117">
        <v>128</v>
      </c>
      <c r="AD27" s="118">
        <v>1</v>
      </c>
      <c r="AE27" s="117" t="s">
        <v>35</v>
      </c>
      <c r="AF27" s="117" t="s">
        <v>35</v>
      </c>
      <c r="AG27" s="117"/>
      <c r="AH27" s="106"/>
      <c r="AI27" s="106"/>
      <c r="AJ27" s="106"/>
      <c r="AK27" s="119" t="s">
        <v>35</v>
      </c>
      <c r="AL27" s="119"/>
    </row>
    <row r="28" spans="1:38" ht="66" x14ac:dyDescent="0.3">
      <c r="A28" s="105">
        <v>32</v>
      </c>
      <c r="B28" s="106" t="s">
        <v>325</v>
      </c>
      <c r="C28" s="107" t="s">
        <v>43</v>
      </c>
      <c r="D28" s="108" t="s">
        <v>29</v>
      </c>
      <c r="E28" s="106" t="s">
        <v>30</v>
      </c>
      <c r="F28" s="109">
        <v>1</v>
      </c>
      <c r="G28" s="109">
        <v>1</v>
      </c>
      <c r="H28" s="109" t="s">
        <v>242</v>
      </c>
      <c r="I28" s="110">
        <v>45748</v>
      </c>
      <c r="J28" s="110">
        <v>46022</v>
      </c>
      <c r="K28" s="110">
        <v>45748</v>
      </c>
      <c r="L28" s="110">
        <v>46387</v>
      </c>
      <c r="M28" s="111">
        <v>45869</v>
      </c>
      <c r="N28" s="111">
        <v>45961</v>
      </c>
      <c r="O28" s="111">
        <v>46053</v>
      </c>
      <c r="P28" s="112"/>
      <c r="Q28" s="113" t="s">
        <v>31</v>
      </c>
      <c r="R28" s="113"/>
      <c r="S28" s="114" t="s">
        <v>334</v>
      </c>
      <c r="T28" s="115" t="s">
        <v>32</v>
      </c>
      <c r="U28" s="116">
        <v>400000000</v>
      </c>
      <c r="V28" s="116">
        <v>394509545</v>
      </c>
      <c r="W28" s="116">
        <v>5490455</v>
      </c>
      <c r="X28" s="106" t="s">
        <v>253</v>
      </c>
      <c r="Y28" s="117" t="s">
        <v>246</v>
      </c>
      <c r="Z28" s="117">
        <v>328</v>
      </c>
      <c r="AA28" s="117">
        <v>0</v>
      </c>
      <c r="AB28" s="117">
        <v>0</v>
      </c>
      <c r="AC28" s="117">
        <v>0</v>
      </c>
      <c r="AD28" s="118">
        <v>1</v>
      </c>
      <c r="AE28" s="117" t="s">
        <v>35</v>
      </c>
      <c r="AF28" s="117" t="s">
        <v>35</v>
      </c>
      <c r="AG28" s="117"/>
      <c r="AH28" s="106"/>
      <c r="AI28" s="106"/>
      <c r="AJ28" s="106"/>
      <c r="AK28" s="119" t="s">
        <v>35</v>
      </c>
      <c r="AL28" s="119"/>
    </row>
    <row r="29" spans="1:38" ht="33" x14ac:dyDescent="0.3">
      <c r="A29" s="105">
        <v>33</v>
      </c>
      <c r="B29" s="106" t="s">
        <v>325</v>
      </c>
      <c r="C29" s="107" t="s">
        <v>43</v>
      </c>
      <c r="D29" s="108" t="s">
        <v>29</v>
      </c>
      <c r="E29" s="106" t="s">
        <v>335</v>
      </c>
      <c r="F29" s="109">
        <v>1</v>
      </c>
      <c r="G29" s="109">
        <v>1</v>
      </c>
      <c r="H29" s="109" t="s">
        <v>242</v>
      </c>
      <c r="I29" s="110">
        <v>45748</v>
      </c>
      <c r="J29" s="110">
        <v>46022</v>
      </c>
      <c r="K29" s="110">
        <v>45748</v>
      </c>
      <c r="L29" s="110">
        <v>46387</v>
      </c>
      <c r="M29" s="111">
        <v>45869</v>
      </c>
      <c r="N29" s="111">
        <v>45961</v>
      </c>
      <c r="O29" s="111">
        <v>46053</v>
      </c>
      <c r="P29" s="112"/>
      <c r="Q29" s="113" t="s">
        <v>336</v>
      </c>
      <c r="R29" s="113"/>
      <c r="S29" s="114" t="s">
        <v>337</v>
      </c>
      <c r="T29" s="115" t="s">
        <v>338</v>
      </c>
      <c r="U29" s="116">
        <v>80000000</v>
      </c>
      <c r="V29" s="116">
        <v>79978698</v>
      </c>
      <c r="W29" s="116">
        <v>21302</v>
      </c>
      <c r="X29" s="106" t="s">
        <v>245</v>
      </c>
      <c r="Y29" s="117" t="s">
        <v>251</v>
      </c>
      <c r="Z29" s="117">
        <v>75</v>
      </c>
      <c r="AA29" s="117">
        <v>0</v>
      </c>
      <c r="AB29" s="117">
        <v>2</v>
      </c>
      <c r="AC29" s="117">
        <v>33</v>
      </c>
      <c r="AD29" s="118">
        <v>1</v>
      </c>
      <c r="AE29" s="117" t="s">
        <v>35</v>
      </c>
      <c r="AF29" s="117" t="s">
        <v>35</v>
      </c>
      <c r="AG29" s="117"/>
      <c r="AH29" s="106"/>
      <c r="AI29" s="106"/>
      <c r="AJ29" s="106"/>
      <c r="AK29" s="119" t="s">
        <v>35</v>
      </c>
      <c r="AL29" s="119"/>
    </row>
    <row r="30" spans="1:38" ht="66" x14ac:dyDescent="0.3">
      <c r="A30" s="105">
        <v>34</v>
      </c>
      <c r="B30" s="106" t="s">
        <v>325</v>
      </c>
      <c r="C30" s="107" t="s">
        <v>43</v>
      </c>
      <c r="D30" s="108" t="s">
        <v>29</v>
      </c>
      <c r="E30" s="106" t="s">
        <v>339</v>
      </c>
      <c r="F30" s="109">
        <v>1</v>
      </c>
      <c r="G30" s="109">
        <v>1</v>
      </c>
      <c r="H30" s="109" t="s">
        <v>242</v>
      </c>
      <c r="I30" s="110">
        <v>45748</v>
      </c>
      <c r="J30" s="110">
        <v>46022</v>
      </c>
      <c r="K30" s="110">
        <v>45748</v>
      </c>
      <c r="L30" s="110">
        <v>46387</v>
      </c>
      <c r="M30" s="111">
        <v>45869</v>
      </c>
      <c r="N30" s="111">
        <v>45961</v>
      </c>
      <c r="O30" s="111">
        <v>46053</v>
      </c>
      <c r="P30" s="112"/>
      <c r="Q30" s="113" t="s">
        <v>340</v>
      </c>
      <c r="R30" s="113"/>
      <c r="S30" s="114" t="s">
        <v>341</v>
      </c>
      <c r="T30" s="115" t="s">
        <v>342</v>
      </c>
      <c r="U30" s="116">
        <v>130018219</v>
      </c>
      <c r="V30" s="116">
        <v>123561751</v>
      </c>
      <c r="W30" s="116">
        <v>6456468</v>
      </c>
      <c r="X30" s="106" t="s">
        <v>245</v>
      </c>
      <c r="Y30" s="117" t="s">
        <v>258</v>
      </c>
      <c r="Z30" s="117">
        <v>132</v>
      </c>
      <c r="AA30" s="117">
        <v>0</v>
      </c>
      <c r="AB30" s="117">
        <v>29</v>
      </c>
      <c r="AC30" s="117">
        <v>0</v>
      </c>
      <c r="AD30" s="118">
        <v>1</v>
      </c>
      <c r="AE30" s="117" t="s">
        <v>35</v>
      </c>
      <c r="AF30" s="117" t="s">
        <v>35</v>
      </c>
      <c r="AG30" s="117"/>
      <c r="AH30" s="106"/>
      <c r="AI30" s="106"/>
      <c r="AJ30" s="106"/>
      <c r="AK30" s="119" t="s">
        <v>35</v>
      </c>
      <c r="AL30" s="119"/>
    </row>
    <row r="31" spans="1:38" ht="66" x14ac:dyDescent="0.3">
      <c r="A31" s="105">
        <v>35</v>
      </c>
      <c r="B31" s="106" t="s">
        <v>325</v>
      </c>
      <c r="C31" s="107" t="s">
        <v>43</v>
      </c>
      <c r="D31" s="108" t="s">
        <v>29</v>
      </c>
      <c r="E31" s="106" t="s">
        <v>343</v>
      </c>
      <c r="F31" s="109">
        <v>1</v>
      </c>
      <c r="G31" s="109">
        <v>1</v>
      </c>
      <c r="H31" s="109" t="s">
        <v>242</v>
      </c>
      <c r="I31" s="110">
        <v>45748</v>
      </c>
      <c r="J31" s="110">
        <v>46022</v>
      </c>
      <c r="K31" s="110">
        <v>45748</v>
      </c>
      <c r="L31" s="110">
        <v>46387</v>
      </c>
      <c r="M31" s="111">
        <v>45869</v>
      </c>
      <c r="N31" s="111">
        <v>45961</v>
      </c>
      <c r="O31" s="111">
        <v>46053</v>
      </c>
      <c r="P31" s="112"/>
      <c r="Q31" s="113" t="s">
        <v>344</v>
      </c>
      <c r="R31" s="113"/>
      <c r="S31" s="114" t="s">
        <v>345</v>
      </c>
      <c r="T31" s="115" t="s">
        <v>346</v>
      </c>
      <c r="U31" s="116">
        <v>100000000</v>
      </c>
      <c r="V31" s="116">
        <v>95939700</v>
      </c>
      <c r="W31" s="116">
        <v>4060300</v>
      </c>
      <c r="X31" s="106" t="s">
        <v>245</v>
      </c>
      <c r="Y31" s="117" t="s">
        <v>251</v>
      </c>
      <c r="Z31" s="117">
        <v>143</v>
      </c>
      <c r="AA31" s="117">
        <v>0</v>
      </c>
      <c r="AB31" s="117">
        <v>0</v>
      </c>
      <c r="AC31" s="117">
        <v>43</v>
      </c>
      <c r="AD31" s="118">
        <v>1</v>
      </c>
      <c r="AE31" s="117" t="s">
        <v>35</v>
      </c>
      <c r="AF31" s="117" t="s">
        <v>35</v>
      </c>
      <c r="AG31" s="117"/>
      <c r="AH31" s="106"/>
      <c r="AI31" s="106"/>
      <c r="AJ31" s="106"/>
      <c r="AK31" s="119" t="s">
        <v>35</v>
      </c>
      <c r="AL31" s="119"/>
    </row>
    <row r="32" spans="1:38" ht="33" x14ac:dyDescent="0.3">
      <c r="A32" s="105">
        <v>36</v>
      </c>
      <c r="B32" s="106" t="s">
        <v>325</v>
      </c>
      <c r="C32" s="107" t="s">
        <v>43</v>
      </c>
      <c r="D32" s="108" t="s">
        <v>29</v>
      </c>
      <c r="E32" s="106" t="s">
        <v>347</v>
      </c>
      <c r="F32" s="109">
        <v>1</v>
      </c>
      <c r="G32" s="109">
        <v>1</v>
      </c>
      <c r="H32" s="109" t="s">
        <v>242</v>
      </c>
      <c r="I32" s="110">
        <v>45748</v>
      </c>
      <c r="J32" s="110">
        <v>46022</v>
      </c>
      <c r="K32" s="110">
        <v>45748</v>
      </c>
      <c r="L32" s="110">
        <v>46387</v>
      </c>
      <c r="M32" s="111">
        <v>45869</v>
      </c>
      <c r="N32" s="111">
        <v>45961</v>
      </c>
      <c r="O32" s="111">
        <v>46053</v>
      </c>
      <c r="P32" s="112"/>
      <c r="Q32" s="113" t="s">
        <v>348</v>
      </c>
      <c r="R32" s="113"/>
      <c r="S32" s="114" t="s">
        <v>349</v>
      </c>
      <c r="T32" s="115" t="s">
        <v>350</v>
      </c>
      <c r="U32" s="116">
        <v>120000000</v>
      </c>
      <c r="V32" s="116">
        <v>115490439</v>
      </c>
      <c r="W32" s="116">
        <v>4509561</v>
      </c>
      <c r="X32" s="106" t="s">
        <v>245</v>
      </c>
      <c r="Y32" s="117" t="s">
        <v>258</v>
      </c>
      <c r="Z32" s="117">
        <v>105</v>
      </c>
      <c r="AA32" s="117">
        <v>0</v>
      </c>
      <c r="AB32" s="117">
        <v>8</v>
      </c>
      <c r="AC32" s="117">
        <v>0</v>
      </c>
      <c r="AD32" s="118">
        <v>1</v>
      </c>
      <c r="AE32" s="117" t="s">
        <v>35</v>
      </c>
      <c r="AF32" s="117" t="s">
        <v>35</v>
      </c>
      <c r="AG32" s="117"/>
      <c r="AH32" s="106"/>
      <c r="AI32" s="106"/>
      <c r="AJ32" s="106"/>
      <c r="AK32" s="119" t="s">
        <v>35</v>
      </c>
      <c r="AL32" s="119"/>
    </row>
    <row r="33" spans="1:38" ht="82.5" x14ac:dyDescent="0.3">
      <c r="A33" s="105">
        <v>37</v>
      </c>
      <c r="B33" s="106" t="s">
        <v>325</v>
      </c>
      <c r="C33" s="107" t="s">
        <v>43</v>
      </c>
      <c r="D33" s="108" t="s">
        <v>29</v>
      </c>
      <c r="E33" s="106" t="s">
        <v>351</v>
      </c>
      <c r="F33" s="109">
        <v>1</v>
      </c>
      <c r="G33" s="109">
        <v>1</v>
      </c>
      <c r="H33" s="109" t="s">
        <v>242</v>
      </c>
      <c r="I33" s="110">
        <v>45748</v>
      </c>
      <c r="J33" s="110">
        <v>46022</v>
      </c>
      <c r="K33" s="110">
        <v>45748</v>
      </c>
      <c r="L33" s="110">
        <v>46387</v>
      </c>
      <c r="M33" s="111">
        <v>45869</v>
      </c>
      <c r="N33" s="111">
        <v>45961</v>
      </c>
      <c r="O33" s="111">
        <v>46053</v>
      </c>
      <c r="P33" s="112"/>
      <c r="Q33" s="113" t="s">
        <v>352</v>
      </c>
      <c r="R33" s="113"/>
      <c r="S33" s="114" t="s">
        <v>353</v>
      </c>
      <c r="T33" s="115" t="s">
        <v>354</v>
      </c>
      <c r="U33" s="116">
        <v>100000000</v>
      </c>
      <c r="V33" s="116">
        <v>66791228</v>
      </c>
      <c r="W33" s="116">
        <v>33208772</v>
      </c>
      <c r="X33" s="106" t="s">
        <v>245</v>
      </c>
      <c r="Y33" s="117" t="s">
        <v>251</v>
      </c>
      <c r="Z33" s="117">
        <v>106</v>
      </c>
      <c r="AA33" s="117">
        <v>0</v>
      </c>
      <c r="AB33" s="117">
        <v>0</v>
      </c>
      <c r="AC33" s="117">
        <v>106</v>
      </c>
      <c r="AD33" s="118">
        <v>1</v>
      </c>
      <c r="AE33" s="117" t="s">
        <v>35</v>
      </c>
      <c r="AF33" s="117" t="s">
        <v>35</v>
      </c>
      <c r="AG33" s="117"/>
      <c r="AH33" s="106"/>
      <c r="AI33" s="106"/>
      <c r="AJ33" s="106"/>
      <c r="AK33" s="119" t="s">
        <v>35</v>
      </c>
      <c r="AL33" s="119"/>
    </row>
    <row r="34" spans="1:38" ht="66" x14ac:dyDescent="0.3">
      <c r="A34" s="105">
        <v>38</v>
      </c>
      <c r="B34" s="106" t="s">
        <v>325</v>
      </c>
      <c r="C34" s="107" t="s">
        <v>43</v>
      </c>
      <c r="D34" s="108" t="s">
        <v>29</v>
      </c>
      <c r="E34" s="106" t="s">
        <v>355</v>
      </c>
      <c r="F34" s="109">
        <v>1</v>
      </c>
      <c r="G34" s="109">
        <v>1</v>
      </c>
      <c r="H34" s="109" t="s">
        <v>242</v>
      </c>
      <c r="I34" s="110">
        <v>45748</v>
      </c>
      <c r="J34" s="110">
        <v>46022</v>
      </c>
      <c r="K34" s="110">
        <v>45748</v>
      </c>
      <c r="L34" s="110">
        <v>46387</v>
      </c>
      <c r="M34" s="111">
        <v>45869</v>
      </c>
      <c r="N34" s="111">
        <v>45961</v>
      </c>
      <c r="O34" s="111">
        <v>46053</v>
      </c>
      <c r="P34" s="112"/>
      <c r="Q34" s="113" t="s">
        <v>356</v>
      </c>
      <c r="R34" s="113"/>
      <c r="S34" s="114" t="s">
        <v>357</v>
      </c>
      <c r="T34" s="115" t="s">
        <v>358</v>
      </c>
      <c r="U34" s="116">
        <v>80000000</v>
      </c>
      <c r="V34" s="116">
        <v>79843570</v>
      </c>
      <c r="W34" s="116">
        <v>156430</v>
      </c>
      <c r="X34" s="106" t="s">
        <v>245</v>
      </c>
      <c r="Y34" s="117" t="s">
        <v>251</v>
      </c>
      <c r="Z34" s="117">
        <v>190</v>
      </c>
      <c r="AA34" s="117">
        <v>0</v>
      </c>
      <c r="AB34" s="117">
        <v>0</v>
      </c>
      <c r="AC34" s="117">
        <v>155</v>
      </c>
      <c r="AD34" s="118">
        <v>1</v>
      </c>
      <c r="AE34" s="117" t="s">
        <v>35</v>
      </c>
      <c r="AF34" s="117" t="s">
        <v>35</v>
      </c>
      <c r="AG34" s="117"/>
      <c r="AH34" s="106"/>
      <c r="AI34" s="106"/>
      <c r="AJ34" s="106"/>
      <c r="AK34" s="119" t="s">
        <v>35</v>
      </c>
      <c r="AL34" s="119"/>
    </row>
    <row r="35" spans="1:38" ht="33" x14ac:dyDescent="0.3">
      <c r="A35" s="105">
        <v>39</v>
      </c>
      <c r="B35" s="106" t="s">
        <v>325</v>
      </c>
      <c r="C35" s="107" t="s">
        <v>43</v>
      </c>
      <c r="D35" s="108" t="s">
        <v>29</v>
      </c>
      <c r="E35" s="106" t="s">
        <v>359</v>
      </c>
      <c r="F35" s="109">
        <v>1</v>
      </c>
      <c r="G35" s="109">
        <v>1</v>
      </c>
      <c r="H35" s="109" t="s">
        <v>242</v>
      </c>
      <c r="I35" s="110">
        <v>45748</v>
      </c>
      <c r="J35" s="110">
        <v>46022</v>
      </c>
      <c r="K35" s="110">
        <v>45748</v>
      </c>
      <c r="L35" s="110">
        <v>46387</v>
      </c>
      <c r="M35" s="111">
        <v>45869</v>
      </c>
      <c r="N35" s="111">
        <v>45961</v>
      </c>
      <c r="O35" s="111">
        <v>46053</v>
      </c>
      <c r="P35" s="112"/>
      <c r="Q35" s="113" t="s">
        <v>360</v>
      </c>
      <c r="R35" s="113"/>
      <c r="S35" s="114" t="s">
        <v>361</v>
      </c>
      <c r="T35" s="115" t="s">
        <v>362</v>
      </c>
      <c r="U35" s="116">
        <v>80411069</v>
      </c>
      <c r="V35" s="116">
        <v>79917902</v>
      </c>
      <c r="W35" s="116">
        <v>493167</v>
      </c>
      <c r="X35" s="106" t="s">
        <v>245</v>
      </c>
      <c r="Y35" s="117" t="s">
        <v>258</v>
      </c>
      <c r="Z35" s="117">
        <v>102</v>
      </c>
      <c r="AA35" s="117">
        <v>0</v>
      </c>
      <c r="AB35" s="117">
        <v>0</v>
      </c>
      <c r="AC35" s="117">
        <v>0</v>
      </c>
      <c r="AD35" s="118">
        <v>1</v>
      </c>
      <c r="AE35" s="117" t="s">
        <v>35</v>
      </c>
      <c r="AF35" s="117" t="s">
        <v>35</v>
      </c>
      <c r="AG35" s="117"/>
      <c r="AH35" s="106"/>
      <c r="AI35" s="106"/>
      <c r="AJ35" s="106"/>
      <c r="AK35" s="119" t="s">
        <v>35</v>
      </c>
      <c r="AL35" s="119"/>
    </row>
    <row r="36" spans="1:38" ht="66" x14ac:dyDescent="0.3">
      <c r="A36" s="105">
        <v>40</v>
      </c>
      <c r="B36" s="106" t="s">
        <v>325</v>
      </c>
      <c r="C36" s="107" t="s">
        <v>43</v>
      </c>
      <c r="D36" s="108" t="s">
        <v>29</v>
      </c>
      <c r="E36" s="106" t="s">
        <v>363</v>
      </c>
      <c r="F36" s="109">
        <v>1</v>
      </c>
      <c r="G36" s="109">
        <v>1</v>
      </c>
      <c r="H36" s="109" t="s">
        <v>242</v>
      </c>
      <c r="I36" s="110">
        <v>45748</v>
      </c>
      <c r="J36" s="110">
        <v>46022</v>
      </c>
      <c r="K36" s="110">
        <v>45748</v>
      </c>
      <c r="L36" s="110">
        <v>46387</v>
      </c>
      <c r="M36" s="111">
        <v>45869</v>
      </c>
      <c r="N36" s="111">
        <v>45961</v>
      </c>
      <c r="O36" s="111">
        <v>46053</v>
      </c>
      <c r="P36" s="112"/>
      <c r="Q36" s="113" t="s">
        <v>364</v>
      </c>
      <c r="R36" s="113"/>
      <c r="S36" s="114" t="s">
        <v>365</v>
      </c>
      <c r="T36" s="115" t="s">
        <v>366</v>
      </c>
      <c r="U36" s="116">
        <v>100000000</v>
      </c>
      <c r="V36" s="116">
        <v>92014350</v>
      </c>
      <c r="W36" s="116">
        <v>7985650</v>
      </c>
      <c r="X36" s="106" t="s">
        <v>280</v>
      </c>
      <c r="Y36" s="117" t="s">
        <v>246</v>
      </c>
      <c r="Z36" s="117">
        <v>144</v>
      </c>
      <c r="AA36" s="117">
        <v>45</v>
      </c>
      <c r="AB36" s="117">
        <v>0</v>
      </c>
      <c r="AC36" s="117">
        <v>0</v>
      </c>
      <c r="AD36" s="118">
        <v>0.6875</v>
      </c>
      <c r="AE36" s="117" t="s">
        <v>35</v>
      </c>
      <c r="AF36" s="117" t="s">
        <v>35</v>
      </c>
      <c r="AG36" s="117"/>
      <c r="AH36" s="106"/>
      <c r="AI36" s="106"/>
      <c r="AJ36" s="106"/>
      <c r="AK36" s="119" t="s">
        <v>35</v>
      </c>
      <c r="AL36" s="119"/>
    </row>
    <row r="37" spans="1:38" ht="66" x14ac:dyDescent="0.3">
      <c r="A37" s="105">
        <v>41</v>
      </c>
      <c r="B37" s="106" t="s">
        <v>325</v>
      </c>
      <c r="C37" s="107" t="s">
        <v>43</v>
      </c>
      <c r="D37" s="108" t="s">
        <v>29</v>
      </c>
      <c r="E37" s="106" t="s">
        <v>367</v>
      </c>
      <c r="F37" s="109">
        <v>1</v>
      </c>
      <c r="G37" s="109">
        <v>1</v>
      </c>
      <c r="H37" s="109" t="s">
        <v>242</v>
      </c>
      <c r="I37" s="110">
        <v>45748</v>
      </c>
      <c r="J37" s="110">
        <v>46022</v>
      </c>
      <c r="K37" s="110">
        <v>45748</v>
      </c>
      <c r="L37" s="110">
        <v>46387</v>
      </c>
      <c r="M37" s="111">
        <v>45869</v>
      </c>
      <c r="N37" s="111">
        <v>45961</v>
      </c>
      <c r="O37" s="111">
        <v>46053</v>
      </c>
      <c r="P37" s="112"/>
      <c r="Q37" s="113" t="s">
        <v>368</v>
      </c>
      <c r="R37" s="113"/>
      <c r="S37" s="114" t="s">
        <v>369</v>
      </c>
      <c r="T37" s="115" t="s">
        <v>370</v>
      </c>
      <c r="U37" s="116">
        <v>100000000</v>
      </c>
      <c r="V37" s="116">
        <v>72084229</v>
      </c>
      <c r="W37" s="116">
        <v>27915771</v>
      </c>
      <c r="X37" s="106" t="s">
        <v>280</v>
      </c>
      <c r="Y37" s="117" t="s">
        <v>246</v>
      </c>
      <c r="Z37" s="117">
        <v>84</v>
      </c>
      <c r="AA37" s="117">
        <v>0</v>
      </c>
      <c r="AB37" s="117">
        <v>0</v>
      </c>
      <c r="AC37" s="117">
        <v>0</v>
      </c>
      <c r="AD37" s="118">
        <v>1</v>
      </c>
      <c r="AE37" s="117" t="s">
        <v>35</v>
      </c>
      <c r="AF37" s="117" t="s">
        <v>35</v>
      </c>
      <c r="AG37" s="117"/>
      <c r="AH37" s="106"/>
      <c r="AI37" s="106"/>
      <c r="AJ37" s="106"/>
      <c r="AK37" s="119" t="s">
        <v>35</v>
      </c>
      <c r="AL37" s="119"/>
    </row>
    <row r="38" spans="1:38" ht="49.5" x14ac:dyDescent="0.3">
      <c r="A38" s="105">
        <v>42</v>
      </c>
      <c r="B38" s="106" t="s">
        <v>325</v>
      </c>
      <c r="C38" s="107" t="s">
        <v>43</v>
      </c>
      <c r="D38" s="108" t="s">
        <v>29</v>
      </c>
      <c r="E38" s="106" t="s">
        <v>371</v>
      </c>
      <c r="F38" s="109">
        <v>1</v>
      </c>
      <c r="G38" s="109">
        <v>1</v>
      </c>
      <c r="H38" s="109" t="s">
        <v>242</v>
      </c>
      <c r="I38" s="110">
        <v>45748</v>
      </c>
      <c r="J38" s="110">
        <v>46022</v>
      </c>
      <c r="K38" s="110">
        <v>45748</v>
      </c>
      <c r="L38" s="110">
        <v>46387</v>
      </c>
      <c r="M38" s="111">
        <v>45869</v>
      </c>
      <c r="N38" s="111">
        <v>45961</v>
      </c>
      <c r="O38" s="111">
        <v>46053</v>
      </c>
      <c r="P38" s="112"/>
      <c r="Q38" s="113" t="s">
        <v>372</v>
      </c>
      <c r="R38" s="113"/>
      <c r="S38" s="114" t="s">
        <v>373</v>
      </c>
      <c r="T38" s="115" t="s">
        <v>374</v>
      </c>
      <c r="U38" s="116">
        <v>100000000</v>
      </c>
      <c r="V38" s="116">
        <v>0</v>
      </c>
      <c r="W38" s="116">
        <v>100000000</v>
      </c>
      <c r="X38" s="106" t="s">
        <v>245</v>
      </c>
      <c r="Y38" s="117" t="s">
        <v>375</v>
      </c>
      <c r="Z38" s="117">
        <v>0</v>
      </c>
      <c r="AA38" s="117">
        <v>0</v>
      </c>
      <c r="AB38" s="117">
        <v>0</v>
      </c>
      <c r="AC38" s="117">
        <v>0</v>
      </c>
      <c r="AD38" s="118" t="s">
        <v>376</v>
      </c>
      <c r="AE38" s="117" t="s">
        <v>35</v>
      </c>
      <c r="AF38" s="117" t="s">
        <v>35</v>
      </c>
      <c r="AG38" s="117"/>
      <c r="AH38" s="106"/>
      <c r="AI38" s="106"/>
      <c r="AJ38" s="106"/>
      <c r="AK38" s="119" t="s">
        <v>35</v>
      </c>
      <c r="AL38" s="119"/>
    </row>
    <row r="39" spans="1:38" ht="66" x14ac:dyDescent="0.3">
      <c r="A39" s="105">
        <v>43</v>
      </c>
      <c r="B39" s="106" t="s">
        <v>325</v>
      </c>
      <c r="C39" s="107" t="s">
        <v>43</v>
      </c>
      <c r="D39" s="108" t="s">
        <v>29</v>
      </c>
      <c r="E39" s="106" t="s">
        <v>377</v>
      </c>
      <c r="F39" s="109">
        <v>1</v>
      </c>
      <c r="G39" s="109">
        <v>1</v>
      </c>
      <c r="H39" s="109" t="s">
        <v>242</v>
      </c>
      <c r="I39" s="110">
        <v>45748</v>
      </c>
      <c r="J39" s="110">
        <v>46022</v>
      </c>
      <c r="K39" s="110">
        <v>45748</v>
      </c>
      <c r="L39" s="110">
        <v>46387</v>
      </c>
      <c r="M39" s="111">
        <v>45869</v>
      </c>
      <c r="N39" s="111">
        <v>45961</v>
      </c>
      <c r="O39" s="111">
        <v>46053</v>
      </c>
      <c r="P39" s="112"/>
      <c r="Q39" s="113" t="s">
        <v>378</v>
      </c>
      <c r="R39" s="113"/>
      <c r="S39" s="114" t="s">
        <v>379</v>
      </c>
      <c r="T39" s="115" t="s">
        <v>380</v>
      </c>
      <c r="U39" s="116">
        <v>133334000</v>
      </c>
      <c r="V39" s="116">
        <v>132317924</v>
      </c>
      <c r="W39" s="116">
        <v>1016076</v>
      </c>
      <c r="X39" s="106" t="s">
        <v>245</v>
      </c>
      <c r="Y39" s="117" t="s">
        <v>246</v>
      </c>
      <c r="Z39" s="117">
        <v>176</v>
      </c>
      <c r="AA39" s="117">
        <v>0</v>
      </c>
      <c r="AB39" s="117">
        <v>0</v>
      </c>
      <c r="AC39" s="117">
        <v>0</v>
      </c>
      <c r="AD39" s="118">
        <v>1</v>
      </c>
      <c r="AE39" s="117" t="s">
        <v>35</v>
      </c>
      <c r="AF39" s="117" t="s">
        <v>35</v>
      </c>
      <c r="AG39" s="117"/>
      <c r="AH39" s="106"/>
      <c r="AI39" s="106"/>
      <c r="AJ39" s="106"/>
      <c r="AK39" s="119" t="s">
        <v>35</v>
      </c>
      <c r="AL39" s="119"/>
    </row>
    <row r="40" spans="1:38" ht="49.5" x14ac:dyDescent="0.3">
      <c r="A40" s="105">
        <v>44</v>
      </c>
      <c r="B40" s="106" t="s">
        <v>325</v>
      </c>
      <c r="C40" s="107" t="s">
        <v>43</v>
      </c>
      <c r="D40" s="108" t="s">
        <v>29</v>
      </c>
      <c r="E40" s="106" t="s">
        <v>381</v>
      </c>
      <c r="F40" s="109">
        <v>1</v>
      </c>
      <c r="G40" s="109">
        <v>1</v>
      </c>
      <c r="H40" s="109" t="s">
        <v>242</v>
      </c>
      <c r="I40" s="110">
        <v>45748</v>
      </c>
      <c r="J40" s="110">
        <v>46022</v>
      </c>
      <c r="K40" s="110">
        <v>45748</v>
      </c>
      <c r="L40" s="110">
        <v>46387</v>
      </c>
      <c r="M40" s="111">
        <v>45869</v>
      </c>
      <c r="N40" s="111">
        <v>45961</v>
      </c>
      <c r="O40" s="111">
        <v>46053</v>
      </c>
      <c r="P40" s="112"/>
      <c r="Q40" s="113" t="s">
        <v>382</v>
      </c>
      <c r="R40" s="113"/>
      <c r="S40" s="114" t="s">
        <v>383</v>
      </c>
      <c r="T40" s="115" t="s">
        <v>384</v>
      </c>
      <c r="U40" s="116">
        <v>506667000</v>
      </c>
      <c r="V40" s="116">
        <v>494469345</v>
      </c>
      <c r="W40" s="116">
        <v>12197655</v>
      </c>
      <c r="X40" s="106" t="s">
        <v>245</v>
      </c>
      <c r="Y40" s="117" t="s">
        <v>251</v>
      </c>
      <c r="Z40" s="117">
        <v>312</v>
      </c>
      <c r="AA40" s="117">
        <v>18</v>
      </c>
      <c r="AB40" s="117">
        <v>0</v>
      </c>
      <c r="AC40" s="117">
        <v>200</v>
      </c>
      <c r="AD40" s="118">
        <v>0.94230769230769229</v>
      </c>
      <c r="AE40" s="117" t="s">
        <v>35</v>
      </c>
      <c r="AF40" s="117" t="s">
        <v>35</v>
      </c>
      <c r="AG40" s="117"/>
      <c r="AH40" s="106"/>
      <c r="AI40" s="106"/>
      <c r="AJ40" s="106"/>
      <c r="AK40" s="119" t="s">
        <v>35</v>
      </c>
      <c r="AL40" s="119"/>
    </row>
    <row r="41" spans="1:38" ht="49.5" x14ac:dyDescent="0.3">
      <c r="A41" s="105">
        <v>318</v>
      </c>
      <c r="B41" s="106" t="s">
        <v>325</v>
      </c>
      <c r="C41" s="107" t="s">
        <v>43</v>
      </c>
      <c r="D41" s="108" t="s">
        <v>37</v>
      </c>
      <c r="E41" s="106" t="s">
        <v>385</v>
      </c>
      <c r="F41" s="109">
        <v>4</v>
      </c>
      <c r="G41" s="109">
        <v>1</v>
      </c>
      <c r="H41" s="109" t="s">
        <v>242</v>
      </c>
      <c r="I41" s="110">
        <v>45658</v>
      </c>
      <c r="J41" s="110">
        <v>46022</v>
      </c>
      <c r="K41" s="110">
        <v>45658</v>
      </c>
      <c r="L41" s="110">
        <v>46022</v>
      </c>
      <c r="M41" s="111">
        <v>45777</v>
      </c>
      <c r="N41" s="111">
        <v>45869</v>
      </c>
      <c r="O41" s="111">
        <v>45961</v>
      </c>
      <c r="P41" s="112"/>
      <c r="Q41" s="113" t="s">
        <v>386</v>
      </c>
      <c r="R41" s="113"/>
      <c r="S41" s="114" t="s">
        <v>387</v>
      </c>
      <c r="T41" s="115" t="s">
        <v>388</v>
      </c>
      <c r="U41" s="116">
        <v>417334000</v>
      </c>
      <c r="V41" s="116">
        <v>321795240</v>
      </c>
      <c r="W41" s="116">
        <v>95538760</v>
      </c>
      <c r="X41" s="106" t="s">
        <v>245</v>
      </c>
      <c r="Y41" s="117" t="s">
        <v>251</v>
      </c>
      <c r="Z41" s="117">
        <v>138</v>
      </c>
      <c r="AA41" s="117">
        <v>0</v>
      </c>
      <c r="AB41" s="117">
        <v>0</v>
      </c>
      <c r="AC41" s="117">
        <v>41</v>
      </c>
      <c r="AD41" s="118">
        <v>1</v>
      </c>
      <c r="AE41" s="117" t="s">
        <v>35</v>
      </c>
      <c r="AF41" s="117" t="s">
        <v>35</v>
      </c>
      <c r="AG41" s="117"/>
      <c r="AH41" s="106"/>
      <c r="AI41" s="106"/>
      <c r="AJ41" s="106"/>
      <c r="AK41" s="119" t="s">
        <v>35</v>
      </c>
      <c r="AL41" s="119"/>
    </row>
    <row r="42" spans="1:38" ht="49.5" x14ac:dyDescent="0.3">
      <c r="A42" s="105">
        <v>319</v>
      </c>
      <c r="B42" s="106" t="s">
        <v>325</v>
      </c>
      <c r="C42" s="107" t="s">
        <v>43</v>
      </c>
      <c r="D42" s="108" t="s">
        <v>37</v>
      </c>
      <c r="E42" s="106" t="s">
        <v>389</v>
      </c>
      <c r="F42" s="109">
        <v>4</v>
      </c>
      <c r="G42" s="109">
        <v>1</v>
      </c>
      <c r="H42" s="109" t="s">
        <v>242</v>
      </c>
      <c r="I42" s="110">
        <v>45809</v>
      </c>
      <c r="J42" s="110">
        <v>46022</v>
      </c>
      <c r="K42" s="110">
        <v>45809</v>
      </c>
      <c r="L42" s="110">
        <v>46022</v>
      </c>
      <c r="M42" s="111">
        <v>45930</v>
      </c>
      <c r="N42" s="111">
        <v>46022</v>
      </c>
      <c r="O42" s="111">
        <v>46112</v>
      </c>
      <c r="P42" s="112"/>
      <c r="Q42" s="113" t="s">
        <v>390</v>
      </c>
      <c r="R42" s="113"/>
      <c r="S42" s="114" t="s">
        <v>391</v>
      </c>
      <c r="T42" s="120" t="s">
        <v>392</v>
      </c>
      <c r="U42" s="116">
        <v>400000000</v>
      </c>
      <c r="V42" s="116">
        <v>400000000</v>
      </c>
      <c r="W42" s="116">
        <v>0</v>
      </c>
      <c r="X42" s="106" t="s">
        <v>245</v>
      </c>
      <c r="Y42" s="117" t="s">
        <v>246</v>
      </c>
      <c r="Z42" s="117">
        <v>77</v>
      </c>
      <c r="AA42" s="117">
        <v>0</v>
      </c>
      <c r="AB42" s="117">
        <v>0</v>
      </c>
      <c r="AC42" s="117">
        <v>0</v>
      </c>
      <c r="AD42" s="118">
        <v>1</v>
      </c>
      <c r="AE42" s="117" t="s">
        <v>35</v>
      </c>
      <c r="AF42" s="117" t="s">
        <v>35</v>
      </c>
      <c r="AG42" s="117"/>
      <c r="AH42" s="121" t="s">
        <v>393</v>
      </c>
      <c r="AI42" s="106"/>
      <c r="AJ42" s="106"/>
      <c r="AK42" s="119" t="s">
        <v>35</v>
      </c>
      <c r="AL42" s="119"/>
    </row>
    <row r="43" spans="1:38" ht="49.5" x14ac:dyDescent="0.3">
      <c r="A43" s="105">
        <v>320</v>
      </c>
      <c r="B43" s="106" t="s">
        <v>325</v>
      </c>
      <c r="C43" s="107" t="s">
        <v>43</v>
      </c>
      <c r="D43" s="108" t="s">
        <v>37</v>
      </c>
      <c r="E43" s="106" t="s">
        <v>394</v>
      </c>
      <c r="F43" s="109">
        <v>4</v>
      </c>
      <c r="G43" s="109">
        <v>1</v>
      </c>
      <c r="H43" s="109" t="s">
        <v>242</v>
      </c>
      <c r="I43" s="110">
        <v>45658</v>
      </c>
      <c r="J43" s="110">
        <v>46022</v>
      </c>
      <c r="K43" s="110">
        <v>45658</v>
      </c>
      <c r="L43" s="110">
        <v>46022</v>
      </c>
      <c r="M43" s="111">
        <v>45777</v>
      </c>
      <c r="N43" s="111">
        <v>45869</v>
      </c>
      <c r="O43" s="111">
        <v>45961</v>
      </c>
      <c r="P43" s="112"/>
      <c r="Q43" s="113" t="s">
        <v>395</v>
      </c>
      <c r="R43" s="113"/>
      <c r="S43" s="114" t="s">
        <v>396</v>
      </c>
      <c r="T43" s="115" t="s">
        <v>397</v>
      </c>
      <c r="U43" s="116">
        <v>257350000</v>
      </c>
      <c r="V43" s="116">
        <v>256898514</v>
      </c>
      <c r="W43" s="116">
        <v>451486</v>
      </c>
      <c r="X43" s="106" t="s">
        <v>245</v>
      </c>
      <c r="Y43" s="117" t="s">
        <v>251</v>
      </c>
      <c r="Z43" s="117">
        <v>311</v>
      </c>
      <c r="AA43" s="117">
        <v>0</v>
      </c>
      <c r="AB43" s="117">
        <v>0</v>
      </c>
      <c r="AC43" s="117">
        <v>52</v>
      </c>
      <c r="AD43" s="118">
        <v>1</v>
      </c>
      <c r="AE43" s="117" t="s">
        <v>35</v>
      </c>
      <c r="AF43" s="117" t="s">
        <v>35</v>
      </c>
      <c r="AG43" s="117"/>
      <c r="AH43" s="106"/>
      <c r="AI43" s="106"/>
      <c r="AJ43" s="106"/>
      <c r="AK43" s="119" t="s">
        <v>35</v>
      </c>
      <c r="AL43" s="119"/>
    </row>
    <row r="44" spans="1:38" ht="49.5" x14ac:dyDescent="0.3">
      <c r="A44" s="105">
        <v>321</v>
      </c>
      <c r="B44" s="106" t="s">
        <v>325</v>
      </c>
      <c r="C44" s="107" t="s">
        <v>43</v>
      </c>
      <c r="D44" s="108" t="s">
        <v>37</v>
      </c>
      <c r="E44" s="106" t="s">
        <v>398</v>
      </c>
      <c r="F44" s="109">
        <v>4</v>
      </c>
      <c r="G44" s="109">
        <v>1</v>
      </c>
      <c r="H44" s="109" t="s">
        <v>242</v>
      </c>
      <c r="I44" s="110">
        <v>45658</v>
      </c>
      <c r="J44" s="110">
        <v>46022</v>
      </c>
      <c r="K44" s="110">
        <v>45658</v>
      </c>
      <c r="L44" s="110">
        <v>46022</v>
      </c>
      <c r="M44" s="111">
        <v>45777</v>
      </c>
      <c r="N44" s="111">
        <v>45869</v>
      </c>
      <c r="O44" s="111">
        <v>45961</v>
      </c>
      <c r="P44" s="112"/>
      <c r="Q44" s="113" t="s">
        <v>399</v>
      </c>
      <c r="R44" s="113"/>
      <c r="S44" s="114" t="s">
        <v>400</v>
      </c>
      <c r="T44" s="120" t="s">
        <v>401</v>
      </c>
      <c r="U44" s="116">
        <v>100043000</v>
      </c>
      <c r="V44" s="116">
        <v>100043000</v>
      </c>
      <c r="W44" s="116">
        <v>0</v>
      </c>
      <c r="X44" s="106" t="s">
        <v>245</v>
      </c>
      <c r="Y44" s="117" t="s">
        <v>246</v>
      </c>
      <c r="Z44" s="117">
        <v>39</v>
      </c>
      <c r="AA44" s="117">
        <v>1</v>
      </c>
      <c r="AB44" s="117">
        <v>0</v>
      </c>
      <c r="AC44" s="117">
        <v>0</v>
      </c>
      <c r="AD44" s="118">
        <v>0.97435897435897434</v>
      </c>
      <c r="AE44" s="117" t="s">
        <v>35</v>
      </c>
      <c r="AF44" s="117" t="s">
        <v>35</v>
      </c>
      <c r="AG44" s="117"/>
      <c r="AH44" s="121" t="s">
        <v>402</v>
      </c>
      <c r="AI44" s="106"/>
      <c r="AJ44" s="106"/>
      <c r="AK44" s="119" t="s">
        <v>35</v>
      </c>
      <c r="AL44" s="119"/>
    </row>
    <row r="45" spans="1:38" ht="49.5" x14ac:dyDescent="0.3">
      <c r="A45" s="105">
        <v>322</v>
      </c>
      <c r="B45" s="106" t="s">
        <v>325</v>
      </c>
      <c r="C45" s="107" t="s">
        <v>43</v>
      </c>
      <c r="D45" s="108" t="s">
        <v>37</v>
      </c>
      <c r="E45" s="106" t="s">
        <v>403</v>
      </c>
      <c r="F45" s="109">
        <v>4</v>
      </c>
      <c r="G45" s="109">
        <v>1</v>
      </c>
      <c r="H45" s="109" t="s">
        <v>242</v>
      </c>
      <c r="I45" s="110">
        <v>45658</v>
      </c>
      <c r="J45" s="110">
        <v>46022</v>
      </c>
      <c r="K45" s="110">
        <v>45658</v>
      </c>
      <c r="L45" s="110">
        <v>46022</v>
      </c>
      <c r="M45" s="111">
        <v>45777</v>
      </c>
      <c r="N45" s="111">
        <v>45869</v>
      </c>
      <c r="O45" s="111">
        <v>45961</v>
      </c>
      <c r="P45" s="112"/>
      <c r="Q45" s="113" t="s">
        <v>404</v>
      </c>
      <c r="R45" s="113"/>
      <c r="S45" s="114" t="s">
        <v>405</v>
      </c>
      <c r="T45" s="115" t="s">
        <v>406</v>
      </c>
      <c r="U45" s="116">
        <v>500000000</v>
      </c>
      <c r="V45" s="116">
        <v>499999845</v>
      </c>
      <c r="W45" s="116">
        <v>155</v>
      </c>
      <c r="X45" s="106" t="s">
        <v>245</v>
      </c>
      <c r="Y45" s="117" t="s">
        <v>246</v>
      </c>
      <c r="Z45" s="117">
        <v>416</v>
      </c>
      <c r="AA45" s="117">
        <v>0</v>
      </c>
      <c r="AB45" s="117">
        <v>0</v>
      </c>
      <c r="AC45" s="117">
        <v>0</v>
      </c>
      <c r="AD45" s="118">
        <v>1</v>
      </c>
      <c r="AE45" s="117" t="s">
        <v>35</v>
      </c>
      <c r="AF45" s="117" t="s">
        <v>35</v>
      </c>
      <c r="AG45" s="117"/>
      <c r="AH45" s="106"/>
      <c r="AI45" s="106"/>
      <c r="AJ45" s="106"/>
      <c r="AK45" s="119" t="s">
        <v>35</v>
      </c>
      <c r="AL45" s="119"/>
    </row>
    <row r="46" spans="1:38" ht="66" x14ac:dyDescent="0.3">
      <c r="A46" s="105">
        <v>323</v>
      </c>
      <c r="B46" s="106" t="s">
        <v>325</v>
      </c>
      <c r="C46" s="107" t="s">
        <v>43</v>
      </c>
      <c r="D46" s="108" t="s">
        <v>37</v>
      </c>
      <c r="E46" s="106" t="s">
        <v>407</v>
      </c>
      <c r="F46" s="109">
        <v>4</v>
      </c>
      <c r="G46" s="109">
        <v>1</v>
      </c>
      <c r="H46" s="109" t="s">
        <v>242</v>
      </c>
      <c r="I46" s="110">
        <v>45658</v>
      </c>
      <c r="J46" s="110">
        <v>46022</v>
      </c>
      <c r="K46" s="110">
        <v>45658</v>
      </c>
      <c r="L46" s="110">
        <v>46022</v>
      </c>
      <c r="M46" s="111">
        <v>45777</v>
      </c>
      <c r="N46" s="111">
        <v>45869</v>
      </c>
      <c r="O46" s="111">
        <v>45961</v>
      </c>
      <c r="P46" s="112"/>
      <c r="Q46" s="113" t="s">
        <v>408</v>
      </c>
      <c r="R46" s="113"/>
      <c r="S46" s="114" t="s">
        <v>409</v>
      </c>
      <c r="T46" s="115" t="s">
        <v>410</v>
      </c>
      <c r="U46" s="116">
        <v>90000000</v>
      </c>
      <c r="V46" s="116">
        <v>89992133</v>
      </c>
      <c r="W46" s="116">
        <v>7867</v>
      </c>
      <c r="X46" s="106" t="s">
        <v>280</v>
      </c>
      <c r="Y46" s="117" t="s">
        <v>246</v>
      </c>
      <c r="Z46" s="117">
        <v>66</v>
      </c>
      <c r="AA46" s="117">
        <v>0</v>
      </c>
      <c r="AB46" s="117">
        <v>0</v>
      </c>
      <c r="AC46" s="117">
        <v>0</v>
      </c>
      <c r="AD46" s="118">
        <v>1</v>
      </c>
      <c r="AE46" s="117" t="s">
        <v>35</v>
      </c>
      <c r="AF46" s="117" t="s">
        <v>35</v>
      </c>
      <c r="AG46" s="117"/>
      <c r="AH46" s="106"/>
      <c r="AI46" s="106"/>
      <c r="AJ46" s="106"/>
      <c r="AK46" s="119" t="s">
        <v>35</v>
      </c>
      <c r="AL46" s="119"/>
    </row>
    <row r="47" spans="1:38" ht="49.5" x14ac:dyDescent="0.3">
      <c r="A47" s="105">
        <v>324</v>
      </c>
      <c r="B47" s="106" t="s">
        <v>325</v>
      </c>
      <c r="C47" s="107" t="s">
        <v>43</v>
      </c>
      <c r="D47" s="108" t="s">
        <v>37</v>
      </c>
      <c r="E47" s="106" t="s">
        <v>411</v>
      </c>
      <c r="F47" s="109">
        <v>4</v>
      </c>
      <c r="G47" s="109">
        <v>1</v>
      </c>
      <c r="H47" s="109" t="s">
        <v>242</v>
      </c>
      <c r="I47" s="110">
        <v>45658</v>
      </c>
      <c r="J47" s="110">
        <v>46022</v>
      </c>
      <c r="K47" s="110">
        <v>45658</v>
      </c>
      <c r="L47" s="110">
        <v>46022</v>
      </c>
      <c r="M47" s="111">
        <v>45777</v>
      </c>
      <c r="N47" s="111">
        <v>45869</v>
      </c>
      <c r="O47" s="111">
        <v>45961</v>
      </c>
      <c r="P47" s="112"/>
      <c r="Q47" s="113" t="s">
        <v>412</v>
      </c>
      <c r="R47" s="113"/>
      <c r="S47" s="114" t="s">
        <v>413</v>
      </c>
      <c r="T47" s="115" t="s">
        <v>414</v>
      </c>
      <c r="U47" s="116">
        <v>401340000</v>
      </c>
      <c r="V47" s="116">
        <v>355140000</v>
      </c>
      <c r="W47" s="116">
        <v>46200000</v>
      </c>
      <c r="X47" s="106" t="s">
        <v>245</v>
      </c>
      <c r="Y47" s="117" t="s">
        <v>258</v>
      </c>
      <c r="Z47" s="117">
        <v>251</v>
      </c>
      <c r="AA47" s="117">
        <v>0</v>
      </c>
      <c r="AB47" s="117">
        <v>3</v>
      </c>
      <c r="AC47" s="117">
        <v>0</v>
      </c>
      <c r="AD47" s="118">
        <v>1</v>
      </c>
      <c r="AE47" s="117" t="s">
        <v>35</v>
      </c>
      <c r="AF47" s="117" t="s">
        <v>35</v>
      </c>
      <c r="AG47" s="117"/>
      <c r="AH47" s="106"/>
      <c r="AI47" s="106"/>
      <c r="AJ47" s="106"/>
      <c r="AK47" s="119" t="s">
        <v>35</v>
      </c>
      <c r="AL47" s="119"/>
    </row>
    <row r="48" spans="1:38" ht="66" x14ac:dyDescent="0.3">
      <c r="A48" s="105">
        <v>325</v>
      </c>
      <c r="B48" s="106" t="s">
        <v>325</v>
      </c>
      <c r="C48" s="107" t="s">
        <v>43</v>
      </c>
      <c r="D48" s="108" t="s">
        <v>37</v>
      </c>
      <c r="E48" s="106" t="s">
        <v>415</v>
      </c>
      <c r="F48" s="109">
        <v>4</v>
      </c>
      <c r="G48" s="109">
        <v>1</v>
      </c>
      <c r="H48" s="109" t="s">
        <v>242</v>
      </c>
      <c r="I48" s="110">
        <v>45658</v>
      </c>
      <c r="J48" s="110">
        <v>46022</v>
      </c>
      <c r="K48" s="110">
        <v>45658</v>
      </c>
      <c r="L48" s="110">
        <v>46022</v>
      </c>
      <c r="M48" s="111">
        <v>45777</v>
      </c>
      <c r="N48" s="111">
        <v>45869</v>
      </c>
      <c r="O48" s="111">
        <v>45961</v>
      </c>
      <c r="P48" s="112"/>
      <c r="Q48" s="113" t="s">
        <v>293</v>
      </c>
      <c r="R48" s="113"/>
      <c r="S48" s="114" t="s">
        <v>294</v>
      </c>
      <c r="T48" s="115" t="s">
        <v>416</v>
      </c>
      <c r="U48" s="116">
        <v>162525283</v>
      </c>
      <c r="V48" s="116">
        <v>162525283</v>
      </c>
      <c r="W48" s="116">
        <v>0</v>
      </c>
      <c r="X48" s="106" t="s">
        <v>245</v>
      </c>
      <c r="Y48" s="117" t="s">
        <v>251</v>
      </c>
      <c r="Z48" s="117">
        <v>250</v>
      </c>
      <c r="AA48" s="117">
        <v>0</v>
      </c>
      <c r="AB48" s="117">
        <v>0</v>
      </c>
      <c r="AC48" s="117">
        <v>4</v>
      </c>
      <c r="AD48" s="118">
        <v>1</v>
      </c>
      <c r="AE48" s="117" t="s">
        <v>35</v>
      </c>
      <c r="AF48" s="117" t="s">
        <v>35</v>
      </c>
      <c r="AG48" s="117"/>
      <c r="AH48" s="106"/>
      <c r="AI48" s="106"/>
      <c r="AJ48" s="106"/>
      <c r="AK48" s="119" t="s">
        <v>35</v>
      </c>
      <c r="AL48" s="119"/>
    </row>
    <row r="49" spans="1:38" ht="49.5" x14ac:dyDescent="0.3">
      <c r="A49" s="105">
        <v>326</v>
      </c>
      <c r="B49" s="106" t="s">
        <v>325</v>
      </c>
      <c r="C49" s="107" t="s">
        <v>43</v>
      </c>
      <c r="D49" s="108" t="s">
        <v>37</v>
      </c>
      <c r="E49" s="106" t="s">
        <v>417</v>
      </c>
      <c r="F49" s="109">
        <v>4</v>
      </c>
      <c r="G49" s="109">
        <v>1</v>
      </c>
      <c r="H49" s="109" t="s">
        <v>242</v>
      </c>
      <c r="I49" s="110">
        <v>45658</v>
      </c>
      <c r="J49" s="110">
        <v>46022</v>
      </c>
      <c r="K49" s="110">
        <v>45658</v>
      </c>
      <c r="L49" s="110">
        <v>46022</v>
      </c>
      <c r="M49" s="111">
        <v>45777</v>
      </c>
      <c r="N49" s="111">
        <v>45869</v>
      </c>
      <c r="O49" s="111">
        <v>45961</v>
      </c>
      <c r="P49" s="112"/>
      <c r="Q49" s="113" t="s">
        <v>418</v>
      </c>
      <c r="R49" s="113"/>
      <c r="S49" s="114" t="s">
        <v>419</v>
      </c>
      <c r="T49" s="115" t="s">
        <v>420</v>
      </c>
      <c r="U49" s="116">
        <v>666667000</v>
      </c>
      <c r="V49" s="116">
        <v>666662600</v>
      </c>
      <c r="W49" s="116">
        <v>4400</v>
      </c>
      <c r="X49" s="106" t="s">
        <v>245</v>
      </c>
      <c r="Y49" s="117" t="s">
        <v>251</v>
      </c>
      <c r="Z49" s="117">
        <v>128</v>
      </c>
      <c r="AA49" s="117">
        <v>0</v>
      </c>
      <c r="AB49" s="117">
        <v>0</v>
      </c>
      <c r="AC49" s="117">
        <v>97</v>
      </c>
      <c r="AD49" s="118">
        <v>1</v>
      </c>
      <c r="AE49" s="117" t="s">
        <v>35</v>
      </c>
      <c r="AF49" s="117" t="s">
        <v>35</v>
      </c>
      <c r="AG49" s="117"/>
      <c r="AH49" s="106"/>
      <c r="AI49" s="106"/>
      <c r="AJ49" s="106"/>
      <c r="AK49" s="119" t="s">
        <v>35</v>
      </c>
      <c r="AL49" s="119"/>
    </row>
    <row r="50" spans="1:38" ht="66" x14ac:dyDescent="0.3">
      <c r="A50" s="105">
        <v>327</v>
      </c>
      <c r="B50" s="106" t="s">
        <v>325</v>
      </c>
      <c r="C50" s="107" t="s">
        <v>43</v>
      </c>
      <c r="D50" s="108" t="s">
        <v>37</v>
      </c>
      <c r="E50" s="106" t="s">
        <v>421</v>
      </c>
      <c r="F50" s="109">
        <v>4</v>
      </c>
      <c r="G50" s="109">
        <v>1</v>
      </c>
      <c r="H50" s="109" t="s">
        <v>242</v>
      </c>
      <c r="I50" s="110">
        <v>45658</v>
      </c>
      <c r="J50" s="110">
        <v>46022</v>
      </c>
      <c r="K50" s="110">
        <v>45658</v>
      </c>
      <c r="L50" s="110">
        <v>46022</v>
      </c>
      <c r="M50" s="111">
        <v>45777</v>
      </c>
      <c r="N50" s="111">
        <v>45869</v>
      </c>
      <c r="O50" s="111">
        <v>45961</v>
      </c>
      <c r="P50" s="112"/>
      <c r="Q50" s="113" t="s">
        <v>422</v>
      </c>
      <c r="R50" s="113"/>
      <c r="S50" s="114" t="s">
        <v>423</v>
      </c>
      <c r="T50" s="115" t="s">
        <v>424</v>
      </c>
      <c r="U50" s="116">
        <v>244000000</v>
      </c>
      <c r="V50" s="116">
        <v>243317403</v>
      </c>
      <c r="W50" s="116">
        <v>682597</v>
      </c>
      <c r="X50" s="106" t="s">
        <v>245</v>
      </c>
      <c r="Y50" s="117" t="s">
        <v>286</v>
      </c>
      <c r="Z50" s="117">
        <v>436</v>
      </c>
      <c r="AA50" s="117">
        <v>0</v>
      </c>
      <c r="AB50" s="117">
        <v>0</v>
      </c>
      <c r="AC50" s="117">
        <v>1</v>
      </c>
      <c r="AD50" s="118">
        <v>1</v>
      </c>
      <c r="AE50" s="117" t="s">
        <v>35</v>
      </c>
      <c r="AF50" s="117" t="s">
        <v>35</v>
      </c>
      <c r="AG50" s="117"/>
      <c r="AH50" s="106"/>
      <c r="AI50" s="106"/>
      <c r="AJ50" s="106"/>
      <c r="AK50" s="119" t="s">
        <v>35</v>
      </c>
      <c r="AL50" s="119"/>
    </row>
    <row r="51" spans="1:38" ht="49.5" x14ac:dyDescent="0.3">
      <c r="A51" s="105">
        <v>328</v>
      </c>
      <c r="B51" s="106" t="s">
        <v>325</v>
      </c>
      <c r="C51" s="107" t="s">
        <v>43</v>
      </c>
      <c r="D51" s="108" t="s">
        <v>37</v>
      </c>
      <c r="E51" s="106" t="s">
        <v>425</v>
      </c>
      <c r="F51" s="109">
        <v>4</v>
      </c>
      <c r="G51" s="109">
        <v>1</v>
      </c>
      <c r="H51" s="109" t="s">
        <v>242</v>
      </c>
      <c r="I51" s="110">
        <v>45658</v>
      </c>
      <c r="J51" s="110">
        <v>46022</v>
      </c>
      <c r="K51" s="110">
        <v>45658</v>
      </c>
      <c r="L51" s="110">
        <v>46022</v>
      </c>
      <c r="M51" s="111">
        <v>45777</v>
      </c>
      <c r="N51" s="111">
        <v>45869</v>
      </c>
      <c r="O51" s="111">
        <v>45961</v>
      </c>
      <c r="P51" s="112"/>
      <c r="Q51" s="113" t="s">
        <v>426</v>
      </c>
      <c r="R51" s="113"/>
      <c r="S51" s="114" t="s">
        <v>427</v>
      </c>
      <c r="T51" s="120" t="s">
        <v>428</v>
      </c>
      <c r="U51" s="116">
        <v>100000000</v>
      </c>
      <c r="V51" s="116">
        <v>96877410</v>
      </c>
      <c r="W51" s="116">
        <v>3122590</v>
      </c>
      <c r="X51" s="106" t="s">
        <v>245</v>
      </c>
      <c r="Y51" s="117" t="s">
        <v>286</v>
      </c>
      <c r="Z51" s="117">
        <v>134</v>
      </c>
      <c r="AA51" s="117">
        <v>0</v>
      </c>
      <c r="AB51" s="117">
        <v>0</v>
      </c>
      <c r="AC51" s="117">
        <v>1</v>
      </c>
      <c r="AD51" s="118">
        <v>1</v>
      </c>
      <c r="AE51" s="117" t="s">
        <v>35</v>
      </c>
      <c r="AF51" s="117" t="s">
        <v>35</v>
      </c>
      <c r="AG51" s="117"/>
      <c r="AH51" s="121" t="s">
        <v>429</v>
      </c>
      <c r="AI51" s="106"/>
      <c r="AJ51" s="106"/>
      <c r="AK51" s="119" t="s">
        <v>35</v>
      </c>
      <c r="AL51" s="119"/>
    </row>
    <row r="52" spans="1:38" ht="49.5" x14ac:dyDescent="0.3">
      <c r="A52" s="105">
        <v>329</v>
      </c>
      <c r="B52" s="106" t="s">
        <v>325</v>
      </c>
      <c r="C52" s="107" t="s">
        <v>43</v>
      </c>
      <c r="D52" s="108" t="s">
        <v>37</v>
      </c>
      <c r="E52" s="106" t="s">
        <v>430</v>
      </c>
      <c r="F52" s="109">
        <v>4</v>
      </c>
      <c r="G52" s="109">
        <v>1</v>
      </c>
      <c r="H52" s="109" t="s">
        <v>242</v>
      </c>
      <c r="I52" s="110">
        <v>45658</v>
      </c>
      <c r="J52" s="110">
        <v>46022</v>
      </c>
      <c r="K52" s="110">
        <v>45658</v>
      </c>
      <c r="L52" s="110">
        <v>46022</v>
      </c>
      <c r="M52" s="111">
        <v>45777</v>
      </c>
      <c r="N52" s="111">
        <v>45869</v>
      </c>
      <c r="O52" s="111">
        <v>45961</v>
      </c>
      <c r="P52" s="112"/>
      <c r="Q52" s="113" t="s">
        <v>431</v>
      </c>
      <c r="R52" s="113"/>
      <c r="S52" s="114" t="s">
        <v>432</v>
      </c>
      <c r="T52" s="115" t="s">
        <v>433</v>
      </c>
      <c r="U52" s="116">
        <v>400000000</v>
      </c>
      <c r="V52" s="116">
        <v>397681624</v>
      </c>
      <c r="W52" s="116">
        <v>2318376</v>
      </c>
      <c r="X52" s="106" t="s">
        <v>245</v>
      </c>
      <c r="Y52" s="117" t="s">
        <v>258</v>
      </c>
      <c r="Z52" s="117">
        <v>149</v>
      </c>
      <c r="AA52" s="117">
        <v>0</v>
      </c>
      <c r="AB52" s="117">
        <v>2</v>
      </c>
      <c r="AC52" s="117">
        <v>0</v>
      </c>
      <c r="AD52" s="118">
        <v>1</v>
      </c>
      <c r="AE52" s="117" t="s">
        <v>35</v>
      </c>
      <c r="AF52" s="117" t="s">
        <v>35</v>
      </c>
      <c r="AG52" s="117"/>
      <c r="AH52" s="106"/>
      <c r="AI52" s="106"/>
      <c r="AJ52" s="106"/>
      <c r="AK52" s="119" t="s">
        <v>35</v>
      </c>
      <c r="AL52" s="119"/>
    </row>
    <row r="53" spans="1:38" ht="66" x14ac:dyDescent="0.3">
      <c r="A53" s="105">
        <v>330</v>
      </c>
      <c r="B53" s="106" t="s">
        <v>325</v>
      </c>
      <c r="C53" s="107" t="s">
        <v>43</v>
      </c>
      <c r="D53" s="108" t="s">
        <v>37</v>
      </c>
      <c r="E53" s="106" t="s">
        <v>434</v>
      </c>
      <c r="F53" s="109">
        <v>4</v>
      </c>
      <c r="G53" s="109">
        <v>1</v>
      </c>
      <c r="H53" s="109" t="s">
        <v>242</v>
      </c>
      <c r="I53" s="110">
        <v>45658</v>
      </c>
      <c r="J53" s="110">
        <v>46022</v>
      </c>
      <c r="K53" s="110">
        <v>45658</v>
      </c>
      <c r="L53" s="110">
        <v>46022</v>
      </c>
      <c r="M53" s="111">
        <v>45777</v>
      </c>
      <c r="N53" s="111">
        <v>45869</v>
      </c>
      <c r="O53" s="111">
        <v>45961</v>
      </c>
      <c r="P53" s="112"/>
      <c r="Q53" s="113" t="s">
        <v>368</v>
      </c>
      <c r="R53" s="113"/>
      <c r="S53" s="114" t="s">
        <v>369</v>
      </c>
      <c r="T53" s="115" t="s">
        <v>435</v>
      </c>
      <c r="U53" s="116">
        <v>300000000</v>
      </c>
      <c r="V53" s="116">
        <v>285788367</v>
      </c>
      <c r="W53" s="116">
        <v>14211633</v>
      </c>
      <c r="X53" s="106" t="s">
        <v>280</v>
      </c>
      <c r="Y53" s="117" t="s">
        <v>251</v>
      </c>
      <c r="Z53" s="117">
        <v>170</v>
      </c>
      <c r="AA53" s="117">
        <v>0</v>
      </c>
      <c r="AB53" s="117">
        <v>0</v>
      </c>
      <c r="AC53" s="117">
        <v>20</v>
      </c>
      <c r="AD53" s="118">
        <v>1</v>
      </c>
      <c r="AE53" s="117" t="s">
        <v>35</v>
      </c>
      <c r="AF53" s="117" t="s">
        <v>35</v>
      </c>
      <c r="AG53" s="117"/>
      <c r="AH53" s="106"/>
      <c r="AI53" s="106"/>
      <c r="AJ53" s="106"/>
      <c r="AK53" s="119" t="s">
        <v>35</v>
      </c>
      <c r="AL53" s="119"/>
    </row>
    <row r="54" spans="1:38" ht="33" x14ac:dyDescent="0.3">
      <c r="A54" s="105">
        <v>331</v>
      </c>
      <c r="B54" s="106" t="s">
        <v>325</v>
      </c>
      <c r="C54" s="107" t="s">
        <v>43</v>
      </c>
      <c r="D54" s="108" t="s">
        <v>37</v>
      </c>
      <c r="E54" s="106" t="s">
        <v>436</v>
      </c>
      <c r="F54" s="109">
        <v>4</v>
      </c>
      <c r="G54" s="109">
        <v>1</v>
      </c>
      <c r="H54" s="109" t="s">
        <v>242</v>
      </c>
      <c r="I54" s="110">
        <v>45658</v>
      </c>
      <c r="J54" s="110">
        <v>46022</v>
      </c>
      <c r="K54" s="110">
        <v>45658</v>
      </c>
      <c r="L54" s="110">
        <v>46022</v>
      </c>
      <c r="M54" s="111">
        <v>45777</v>
      </c>
      <c r="N54" s="111">
        <v>45869</v>
      </c>
      <c r="O54" s="111">
        <v>45961</v>
      </c>
      <c r="P54" s="112"/>
      <c r="Q54" s="113" t="s">
        <v>437</v>
      </c>
      <c r="R54" s="113"/>
      <c r="S54" s="114" t="s">
        <v>438</v>
      </c>
      <c r="T54" s="120" t="s">
        <v>439</v>
      </c>
      <c r="U54" s="116">
        <v>736000000</v>
      </c>
      <c r="V54" s="116">
        <v>733713662</v>
      </c>
      <c r="W54" s="116">
        <v>2286338</v>
      </c>
      <c r="X54" s="106" t="s">
        <v>245</v>
      </c>
      <c r="Y54" s="117" t="s">
        <v>258</v>
      </c>
      <c r="Z54" s="117">
        <v>652</v>
      </c>
      <c r="AA54" s="117">
        <v>0</v>
      </c>
      <c r="AB54" s="117">
        <v>2</v>
      </c>
      <c r="AC54" s="117">
        <v>0</v>
      </c>
      <c r="AD54" s="118">
        <v>1</v>
      </c>
      <c r="AE54" s="117" t="s">
        <v>35</v>
      </c>
      <c r="AF54" s="117" t="s">
        <v>35</v>
      </c>
      <c r="AG54" s="117"/>
      <c r="AH54" s="121" t="s">
        <v>440</v>
      </c>
      <c r="AI54" s="106"/>
      <c r="AJ54" s="106"/>
      <c r="AK54" s="119" t="s">
        <v>35</v>
      </c>
      <c r="AL54" s="119"/>
    </row>
    <row r="55" spans="1:38" ht="49.5" x14ac:dyDescent="0.3">
      <c r="A55" s="105">
        <v>332</v>
      </c>
      <c r="B55" s="106" t="s">
        <v>325</v>
      </c>
      <c r="C55" s="107" t="s">
        <v>43</v>
      </c>
      <c r="D55" s="108" t="s">
        <v>37</v>
      </c>
      <c r="E55" s="106" t="s">
        <v>441</v>
      </c>
      <c r="F55" s="109">
        <v>4</v>
      </c>
      <c r="G55" s="109">
        <v>1</v>
      </c>
      <c r="H55" s="109" t="s">
        <v>242</v>
      </c>
      <c r="I55" s="110">
        <v>45658</v>
      </c>
      <c r="J55" s="110">
        <v>46022</v>
      </c>
      <c r="K55" s="110">
        <v>45658</v>
      </c>
      <c r="L55" s="110">
        <v>46022</v>
      </c>
      <c r="M55" s="111">
        <v>45777</v>
      </c>
      <c r="N55" s="111">
        <v>45869</v>
      </c>
      <c r="O55" s="111">
        <v>45961</v>
      </c>
      <c r="P55" s="112"/>
      <c r="Q55" s="113" t="s">
        <v>442</v>
      </c>
      <c r="R55" s="113"/>
      <c r="S55" s="114" t="s">
        <v>443</v>
      </c>
      <c r="T55" s="115" t="s">
        <v>444</v>
      </c>
      <c r="U55" s="116">
        <v>280000000</v>
      </c>
      <c r="V55" s="116">
        <v>280000000</v>
      </c>
      <c r="W55" s="116">
        <v>0</v>
      </c>
      <c r="X55" s="106" t="s">
        <v>245</v>
      </c>
      <c r="Y55" s="117" t="s">
        <v>258</v>
      </c>
      <c r="Z55" s="117">
        <v>155</v>
      </c>
      <c r="AA55" s="117">
        <v>0</v>
      </c>
      <c r="AB55" s="117">
        <v>3</v>
      </c>
      <c r="AC55" s="117">
        <v>0</v>
      </c>
      <c r="AD55" s="118">
        <v>1</v>
      </c>
      <c r="AE55" s="117" t="s">
        <v>35</v>
      </c>
      <c r="AF55" s="117" t="s">
        <v>35</v>
      </c>
      <c r="AG55" s="117"/>
      <c r="AH55" s="106"/>
      <c r="AI55" s="106"/>
      <c r="AJ55" s="106"/>
      <c r="AK55" s="119" t="s">
        <v>35</v>
      </c>
      <c r="AL55" s="119"/>
    </row>
    <row r="56" spans="1:38" ht="49.5" x14ac:dyDescent="0.3">
      <c r="A56" s="105">
        <v>333</v>
      </c>
      <c r="B56" s="106" t="s">
        <v>325</v>
      </c>
      <c r="C56" s="107" t="s">
        <v>43</v>
      </c>
      <c r="D56" s="108" t="s">
        <v>37</v>
      </c>
      <c r="E56" s="106" t="s">
        <v>445</v>
      </c>
      <c r="F56" s="109">
        <v>4</v>
      </c>
      <c r="G56" s="109">
        <v>1</v>
      </c>
      <c r="H56" s="109" t="s">
        <v>242</v>
      </c>
      <c r="I56" s="110">
        <v>45658</v>
      </c>
      <c r="J56" s="110">
        <v>46022</v>
      </c>
      <c r="K56" s="110">
        <v>45658</v>
      </c>
      <c r="L56" s="110">
        <v>46022</v>
      </c>
      <c r="M56" s="111">
        <v>45777</v>
      </c>
      <c r="N56" s="111">
        <v>45869</v>
      </c>
      <c r="O56" s="111">
        <v>45961</v>
      </c>
      <c r="P56" s="112"/>
      <c r="Q56" s="113" t="s">
        <v>446</v>
      </c>
      <c r="R56" s="113"/>
      <c r="S56" s="114" t="s">
        <v>447</v>
      </c>
      <c r="T56" s="115" t="s">
        <v>448</v>
      </c>
      <c r="U56" s="116">
        <v>27000000</v>
      </c>
      <c r="V56" s="116">
        <v>20429430</v>
      </c>
      <c r="W56" s="116">
        <v>6570570</v>
      </c>
      <c r="X56" s="106" t="s">
        <v>245</v>
      </c>
      <c r="Y56" s="117" t="s">
        <v>251</v>
      </c>
      <c r="Z56" s="117">
        <v>70</v>
      </c>
      <c r="AA56" s="117">
        <v>0</v>
      </c>
      <c r="AB56" s="117">
        <v>0</v>
      </c>
      <c r="AC56" s="117">
        <v>59</v>
      </c>
      <c r="AD56" s="118">
        <v>1</v>
      </c>
      <c r="AE56" s="117" t="s">
        <v>35</v>
      </c>
      <c r="AF56" s="117" t="s">
        <v>35</v>
      </c>
      <c r="AG56" s="117"/>
      <c r="AH56" s="106"/>
      <c r="AI56" s="106"/>
      <c r="AJ56" s="106"/>
      <c r="AK56" s="119" t="s">
        <v>35</v>
      </c>
      <c r="AL56" s="119"/>
    </row>
    <row r="57" spans="1:38" ht="49.5" x14ac:dyDescent="0.3">
      <c r="A57" s="105">
        <v>334</v>
      </c>
      <c r="B57" s="106" t="s">
        <v>325</v>
      </c>
      <c r="C57" s="107" t="s">
        <v>43</v>
      </c>
      <c r="D57" s="108" t="s">
        <v>37</v>
      </c>
      <c r="E57" s="106" t="s">
        <v>449</v>
      </c>
      <c r="F57" s="109">
        <v>4</v>
      </c>
      <c r="G57" s="109">
        <v>1</v>
      </c>
      <c r="H57" s="109" t="s">
        <v>242</v>
      </c>
      <c r="I57" s="110">
        <v>45658</v>
      </c>
      <c r="J57" s="110">
        <v>46022</v>
      </c>
      <c r="K57" s="110">
        <v>45658</v>
      </c>
      <c r="L57" s="110">
        <v>46022</v>
      </c>
      <c r="M57" s="111">
        <v>45777</v>
      </c>
      <c r="N57" s="111">
        <v>45869</v>
      </c>
      <c r="O57" s="111">
        <v>45961</v>
      </c>
      <c r="P57" s="112"/>
      <c r="Q57" s="113" t="s">
        <v>450</v>
      </c>
      <c r="R57" s="113"/>
      <c r="S57" s="114" t="s">
        <v>451</v>
      </c>
      <c r="T57" s="115" t="s">
        <v>452</v>
      </c>
      <c r="U57" s="116">
        <v>400000000</v>
      </c>
      <c r="V57" s="116">
        <v>400000000</v>
      </c>
      <c r="W57" s="116">
        <v>0</v>
      </c>
      <c r="X57" s="106" t="s">
        <v>245</v>
      </c>
      <c r="Y57" s="117" t="s">
        <v>251</v>
      </c>
      <c r="Z57" s="117">
        <v>156</v>
      </c>
      <c r="AA57" s="117">
        <v>0</v>
      </c>
      <c r="AB57" s="117">
        <v>0</v>
      </c>
      <c r="AC57" s="117">
        <v>2</v>
      </c>
      <c r="AD57" s="118">
        <v>1</v>
      </c>
      <c r="AE57" s="117" t="s">
        <v>35</v>
      </c>
      <c r="AF57" s="117" t="s">
        <v>35</v>
      </c>
      <c r="AG57" s="117"/>
      <c r="AH57" s="106"/>
      <c r="AI57" s="106"/>
      <c r="AJ57" s="106"/>
      <c r="AK57" s="119" t="s">
        <v>35</v>
      </c>
      <c r="AL57" s="119"/>
    </row>
    <row r="58" spans="1:38" ht="49.5" x14ac:dyDescent="0.3">
      <c r="A58" s="105">
        <v>335</v>
      </c>
      <c r="B58" s="106" t="s">
        <v>325</v>
      </c>
      <c r="C58" s="107" t="s">
        <v>43</v>
      </c>
      <c r="D58" s="108" t="s">
        <v>37</v>
      </c>
      <c r="E58" s="106" t="s">
        <v>453</v>
      </c>
      <c r="F58" s="109">
        <v>4</v>
      </c>
      <c r="G58" s="109">
        <v>1</v>
      </c>
      <c r="H58" s="109" t="s">
        <v>242</v>
      </c>
      <c r="I58" s="110">
        <v>45658</v>
      </c>
      <c r="J58" s="110">
        <v>46022</v>
      </c>
      <c r="K58" s="110">
        <v>45658</v>
      </c>
      <c r="L58" s="110">
        <v>46022</v>
      </c>
      <c r="M58" s="111">
        <v>45777</v>
      </c>
      <c r="N58" s="111">
        <v>45869</v>
      </c>
      <c r="O58" s="111">
        <v>45961</v>
      </c>
      <c r="P58" s="112"/>
      <c r="Q58" s="113" t="s">
        <v>454</v>
      </c>
      <c r="R58" s="113"/>
      <c r="S58" s="114" t="s">
        <v>455</v>
      </c>
      <c r="T58" s="120" t="s">
        <v>456</v>
      </c>
      <c r="U58" s="116">
        <v>266700000</v>
      </c>
      <c r="V58" s="116">
        <v>233240000</v>
      </c>
      <c r="W58" s="116">
        <v>33460000</v>
      </c>
      <c r="X58" s="106" t="s">
        <v>245</v>
      </c>
      <c r="Y58" s="117" t="s">
        <v>251</v>
      </c>
      <c r="Z58" s="117">
        <v>139</v>
      </c>
      <c r="AA58" s="117">
        <v>0</v>
      </c>
      <c r="AB58" s="117">
        <v>0</v>
      </c>
      <c r="AC58" s="117">
        <v>76</v>
      </c>
      <c r="AD58" s="118">
        <v>1</v>
      </c>
      <c r="AE58" s="117" t="s">
        <v>35</v>
      </c>
      <c r="AF58" s="117" t="s">
        <v>35</v>
      </c>
      <c r="AG58" s="117"/>
      <c r="AH58" s="121" t="s">
        <v>457</v>
      </c>
      <c r="AI58" s="106"/>
      <c r="AJ58" s="106"/>
      <c r="AK58" s="119" t="s">
        <v>35</v>
      </c>
      <c r="AL58" s="119"/>
    </row>
    <row r="59" spans="1:38" ht="49.5" x14ac:dyDescent="0.3">
      <c r="A59" s="105">
        <v>336</v>
      </c>
      <c r="B59" s="106" t="s">
        <v>325</v>
      </c>
      <c r="C59" s="107" t="s">
        <v>43</v>
      </c>
      <c r="D59" s="108" t="s">
        <v>37</v>
      </c>
      <c r="E59" s="106" t="s">
        <v>458</v>
      </c>
      <c r="F59" s="109">
        <v>4</v>
      </c>
      <c r="G59" s="109">
        <v>1</v>
      </c>
      <c r="H59" s="109" t="s">
        <v>242</v>
      </c>
      <c r="I59" s="110">
        <v>45658</v>
      </c>
      <c r="J59" s="110">
        <v>46022</v>
      </c>
      <c r="K59" s="110">
        <v>45658</v>
      </c>
      <c r="L59" s="110">
        <v>46022</v>
      </c>
      <c r="M59" s="111">
        <v>45777</v>
      </c>
      <c r="N59" s="111">
        <v>45869</v>
      </c>
      <c r="O59" s="111">
        <v>45961</v>
      </c>
      <c r="P59" s="112"/>
      <c r="Q59" s="113" t="s">
        <v>459</v>
      </c>
      <c r="R59" s="113"/>
      <c r="S59" s="114" t="s">
        <v>460</v>
      </c>
      <c r="T59" s="115" t="s">
        <v>461</v>
      </c>
      <c r="U59" s="116">
        <v>173340000</v>
      </c>
      <c r="V59" s="116">
        <v>173074731</v>
      </c>
      <c r="W59" s="116">
        <v>265269</v>
      </c>
      <c r="X59" s="106" t="s">
        <v>245</v>
      </c>
      <c r="Y59" s="117" t="s">
        <v>251</v>
      </c>
      <c r="Z59" s="117">
        <v>157</v>
      </c>
      <c r="AA59" s="117">
        <v>0</v>
      </c>
      <c r="AB59" s="117">
        <v>0</v>
      </c>
      <c r="AC59" s="117">
        <v>85</v>
      </c>
      <c r="AD59" s="118">
        <v>1</v>
      </c>
      <c r="AE59" s="117" t="s">
        <v>35</v>
      </c>
      <c r="AF59" s="117" t="s">
        <v>35</v>
      </c>
      <c r="AG59" s="117"/>
      <c r="AH59" s="106"/>
      <c r="AI59" s="106"/>
      <c r="AJ59" s="106"/>
      <c r="AK59" s="119" t="s">
        <v>35</v>
      </c>
      <c r="AL59" s="119"/>
    </row>
    <row r="60" spans="1:38" ht="49.5" x14ac:dyDescent="0.3">
      <c r="A60" s="105">
        <v>337</v>
      </c>
      <c r="B60" s="106" t="s">
        <v>325</v>
      </c>
      <c r="C60" s="107" t="s">
        <v>43</v>
      </c>
      <c r="D60" s="108" t="s">
        <v>37</v>
      </c>
      <c r="E60" s="106" t="s">
        <v>462</v>
      </c>
      <c r="F60" s="109">
        <v>4</v>
      </c>
      <c r="G60" s="109">
        <v>1</v>
      </c>
      <c r="H60" s="109" t="s">
        <v>242</v>
      </c>
      <c r="I60" s="110">
        <v>45658</v>
      </c>
      <c r="J60" s="110">
        <v>46022</v>
      </c>
      <c r="K60" s="110">
        <v>45658</v>
      </c>
      <c r="L60" s="110">
        <v>46022</v>
      </c>
      <c r="M60" s="111">
        <v>45777</v>
      </c>
      <c r="N60" s="111">
        <v>45869</v>
      </c>
      <c r="O60" s="111">
        <v>45961</v>
      </c>
      <c r="P60" s="112"/>
      <c r="Q60" s="113" t="s">
        <v>463</v>
      </c>
      <c r="R60" s="113"/>
      <c r="S60" s="114" t="s">
        <v>464</v>
      </c>
      <c r="T60" s="115" t="s">
        <v>465</v>
      </c>
      <c r="U60" s="116">
        <v>93334000</v>
      </c>
      <c r="V60" s="116">
        <v>93334000</v>
      </c>
      <c r="W60" s="116">
        <v>0</v>
      </c>
      <c r="X60" s="106" t="s">
        <v>245</v>
      </c>
      <c r="Y60" s="117" t="s">
        <v>251</v>
      </c>
      <c r="Z60" s="117">
        <v>56</v>
      </c>
      <c r="AA60" s="117">
        <v>0</v>
      </c>
      <c r="AB60" s="117">
        <v>0</v>
      </c>
      <c r="AC60" s="117">
        <v>40</v>
      </c>
      <c r="AD60" s="118">
        <v>1</v>
      </c>
      <c r="AE60" s="117" t="s">
        <v>35</v>
      </c>
      <c r="AF60" s="117" t="s">
        <v>35</v>
      </c>
      <c r="AG60" s="117"/>
      <c r="AH60" s="106"/>
      <c r="AI60" s="106"/>
      <c r="AJ60" s="106"/>
      <c r="AK60" s="119" t="s">
        <v>35</v>
      </c>
      <c r="AL60" s="119"/>
    </row>
    <row r="61" spans="1:38" ht="33" x14ac:dyDescent="0.3">
      <c r="A61" s="105">
        <v>338</v>
      </c>
      <c r="B61" s="106" t="s">
        <v>325</v>
      </c>
      <c r="C61" s="107" t="s">
        <v>43</v>
      </c>
      <c r="D61" s="108" t="s">
        <v>37</v>
      </c>
      <c r="E61" s="106" t="s">
        <v>466</v>
      </c>
      <c r="F61" s="109">
        <v>4</v>
      </c>
      <c r="G61" s="109">
        <v>1</v>
      </c>
      <c r="H61" s="109" t="s">
        <v>242</v>
      </c>
      <c r="I61" s="110">
        <v>45658</v>
      </c>
      <c r="J61" s="110">
        <v>46022</v>
      </c>
      <c r="K61" s="110">
        <v>45658</v>
      </c>
      <c r="L61" s="110">
        <v>46022</v>
      </c>
      <c r="M61" s="111">
        <v>45777</v>
      </c>
      <c r="N61" s="111">
        <v>45869</v>
      </c>
      <c r="O61" s="111">
        <v>45961</v>
      </c>
      <c r="P61" s="112"/>
      <c r="Q61" s="113" t="s">
        <v>467</v>
      </c>
      <c r="R61" s="113"/>
      <c r="S61" s="114" t="s">
        <v>468</v>
      </c>
      <c r="T61" s="115" t="s">
        <v>469</v>
      </c>
      <c r="U61" s="116">
        <v>244000000</v>
      </c>
      <c r="V61" s="116">
        <v>243220109</v>
      </c>
      <c r="W61" s="116">
        <v>779891</v>
      </c>
      <c r="X61" s="106" t="s">
        <v>245</v>
      </c>
      <c r="Y61" s="117" t="s">
        <v>251</v>
      </c>
      <c r="Z61" s="117">
        <v>159</v>
      </c>
      <c r="AA61" s="117">
        <v>0</v>
      </c>
      <c r="AB61" s="117">
        <v>0</v>
      </c>
      <c r="AC61" s="117">
        <v>65</v>
      </c>
      <c r="AD61" s="118">
        <v>1</v>
      </c>
      <c r="AE61" s="117" t="s">
        <v>35</v>
      </c>
      <c r="AF61" s="117" t="s">
        <v>35</v>
      </c>
      <c r="AG61" s="117"/>
      <c r="AH61" s="106"/>
      <c r="AI61" s="106"/>
      <c r="AJ61" s="106"/>
      <c r="AK61" s="119" t="s">
        <v>35</v>
      </c>
      <c r="AL61" s="119"/>
    </row>
    <row r="62" spans="1:38" ht="49.5" x14ac:dyDescent="0.3">
      <c r="A62" s="105">
        <v>339</v>
      </c>
      <c r="B62" s="106" t="s">
        <v>325</v>
      </c>
      <c r="C62" s="107" t="s">
        <v>43</v>
      </c>
      <c r="D62" s="108" t="s">
        <v>37</v>
      </c>
      <c r="E62" s="106" t="s">
        <v>470</v>
      </c>
      <c r="F62" s="109">
        <v>4</v>
      </c>
      <c r="G62" s="109">
        <v>1</v>
      </c>
      <c r="H62" s="109" t="s">
        <v>242</v>
      </c>
      <c r="I62" s="110">
        <v>45658</v>
      </c>
      <c r="J62" s="110">
        <v>46022</v>
      </c>
      <c r="K62" s="110">
        <v>45658</v>
      </c>
      <c r="L62" s="110">
        <v>46022</v>
      </c>
      <c r="M62" s="111">
        <v>45777</v>
      </c>
      <c r="N62" s="111">
        <v>45869</v>
      </c>
      <c r="O62" s="111">
        <v>45961</v>
      </c>
      <c r="P62" s="112"/>
      <c r="Q62" s="113" t="s">
        <v>471</v>
      </c>
      <c r="R62" s="113"/>
      <c r="S62" s="114" t="s">
        <v>472</v>
      </c>
      <c r="T62" s="120" t="s">
        <v>473</v>
      </c>
      <c r="U62" s="116">
        <v>51500000</v>
      </c>
      <c r="V62" s="116">
        <v>51500000</v>
      </c>
      <c r="W62" s="116">
        <v>0</v>
      </c>
      <c r="X62" s="106" t="s">
        <v>245</v>
      </c>
      <c r="Y62" s="117" t="s">
        <v>258</v>
      </c>
      <c r="Z62" s="117">
        <v>42</v>
      </c>
      <c r="AA62" s="117">
        <v>0</v>
      </c>
      <c r="AB62" s="117">
        <v>1</v>
      </c>
      <c r="AC62" s="117">
        <v>0</v>
      </c>
      <c r="AD62" s="118">
        <v>1</v>
      </c>
      <c r="AE62" s="117" t="s">
        <v>35</v>
      </c>
      <c r="AF62" s="117" t="s">
        <v>35</v>
      </c>
      <c r="AG62" s="117"/>
      <c r="AH62" s="121" t="s">
        <v>474</v>
      </c>
      <c r="AI62" s="106"/>
      <c r="AJ62" s="106"/>
      <c r="AK62" s="119" t="s">
        <v>35</v>
      </c>
      <c r="AL62" s="119"/>
    </row>
    <row r="63" spans="1:38" ht="49.5" x14ac:dyDescent="0.3">
      <c r="A63" s="105">
        <v>340</v>
      </c>
      <c r="B63" s="106" t="s">
        <v>325</v>
      </c>
      <c r="C63" s="107" t="s">
        <v>43</v>
      </c>
      <c r="D63" s="108" t="s">
        <v>37</v>
      </c>
      <c r="E63" s="106" t="s">
        <v>38</v>
      </c>
      <c r="F63" s="109">
        <v>4</v>
      </c>
      <c r="G63" s="109">
        <v>1</v>
      </c>
      <c r="H63" s="109" t="s">
        <v>242</v>
      </c>
      <c r="I63" s="110">
        <v>45658</v>
      </c>
      <c r="J63" s="110">
        <v>46022</v>
      </c>
      <c r="K63" s="110">
        <v>45658</v>
      </c>
      <c r="L63" s="110">
        <v>46022</v>
      </c>
      <c r="M63" s="111">
        <v>45777</v>
      </c>
      <c r="N63" s="111">
        <v>45869</v>
      </c>
      <c r="O63" s="111">
        <v>45961</v>
      </c>
      <c r="P63" s="112"/>
      <c r="Q63" s="113" t="s">
        <v>39</v>
      </c>
      <c r="R63" s="113"/>
      <c r="S63" s="114" t="s">
        <v>475</v>
      </c>
      <c r="T63" s="115" t="s">
        <v>40</v>
      </c>
      <c r="U63" s="116">
        <v>494400000</v>
      </c>
      <c r="V63" s="116">
        <v>6558650</v>
      </c>
      <c r="W63" s="116">
        <v>487841350</v>
      </c>
      <c r="X63" s="106" t="s">
        <v>253</v>
      </c>
      <c r="Y63" s="117" t="s">
        <v>246</v>
      </c>
      <c r="Z63" s="117">
        <v>32</v>
      </c>
      <c r="AA63" s="117">
        <v>0</v>
      </c>
      <c r="AB63" s="117">
        <v>0</v>
      </c>
      <c r="AC63" s="117">
        <v>0</v>
      </c>
      <c r="AD63" s="118">
        <v>1</v>
      </c>
      <c r="AE63" s="117" t="s">
        <v>35</v>
      </c>
      <c r="AF63" s="117" t="s">
        <v>35</v>
      </c>
      <c r="AG63" s="117"/>
      <c r="AH63" s="106"/>
      <c r="AI63" s="106"/>
      <c r="AJ63" s="106"/>
      <c r="AK63" s="119" t="s">
        <v>35</v>
      </c>
      <c r="AL63" s="119"/>
    </row>
    <row r="64" spans="1:38" ht="66" x14ac:dyDescent="0.3">
      <c r="A64" s="105">
        <v>341</v>
      </c>
      <c r="B64" s="106" t="s">
        <v>325</v>
      </c>
      <c r="C64" s="107" t="s">
        <v>43</v>
      </c>
      <c r="D64" s="108" t="s">
        <v>37</v>
      </c>
      <c r="E64" s="106" t="s">
        <v>476</v>
      </c>
      <c r="F64" s="109">
        <v>4</v>
      </c>
      <c r="G64" s="109">
        <v>1</v>
      </c>
      <c r="H64" s="109" t="s">
        <v>242</v>
      </c>
      <c r="I64" s="110">
        <v>45658</v>
      </c>
      <c r="J64" s="110">
        <v>46022</v>
      </c>
      <c r="K64" s="110">
        <v>45658</v>
      </c>
      <c r="L64" s="110">
        <v>46022</v>
      </c>
      <c r="M64" s="111">
        <v>45777</v>
      </c>
      <c r="N64" s="111">
        <v>45869</v>
      </c>
      <c r="O64" s="111">
        <v>45961</v>
      </c>
      <c r="P64" s="112"/>
      <c r="Q64" s="113" t="s">
        <v>344</v>
      </c>
      <c r="R64" s="113"/>
      <c r="S64" s="114" t="s">
        <v>345</v>
      </c>
      <c r="T64" s="115" t="s">
        <v>477</v>
      </c>
      <c r="U64" s="116">
        <v>230000000</v>
      </c>
      <c r="V64" s="116">
        <v>220003360</v>
      </c>
      <c r="W64" s="116">
        <v>9996640</v>
      </c>
      <c r="X64" s="106" t="s">
        <v>245</v>
      </c>
      <c r="Y64" s="117" t="s">
        <v>251</v>
      </c>
      <c r="Z64" s="117">
        <v>103</v>
      </c>
      <c r="AA64" s="117">
        <v>0</v>
      </c>
      <c r="AB64" s="117">
        <v>0</v>
      </c>
      <c r="AC64" s="117">
        <v>81</v>
      </c>
      <c r="AD64" s="118">
        <v>1</v>
      </c>
      <c r="AE64" s="117" t="s">
        <v>35</v>
      </c>
      <c r="AF64" s="117" t="s">
        <v>35</v>
      </c>
      <c r="AG64" s="117"/>
      <c r="AH64" s="106"/>
      <c r="AI64" s="106"/>
      <c r="AJ64" s="106"/>
      <c r="AK64" s="119" t="s">
        <v>35</v>
      </c>
      <c r="AL64" s="119"/>
    </row>
    <row r="65" spans="1:38" ht="66" x14ac:dyDescent="0.3">
      <c r="A65" s="105">
        <v>342</v>
      </c>
      <c r="B65" s="106" t="s">
        <v>325</v>
      </c>
      <c r="C65" s="107" t="s">
        <v>43</v>
      </c>
      <c r="D65" s="108" t="s">
        <v>37</v>
      </c>
      <c r="E65" s="106" t="s">
        <v>478</v>
      </c>
      <c r="F65" s="109">
        <v>4</v>
      </c>
      <c r="G65" s="109">
        <v>1</v>
      </c>
      <c r="H65" s="109" t="s">
        <v>242</v>
      </c>
      <c r="I65" s="110">
        <v>45658</v>
      </c>
      <c r="J65" s="110">
        <v>46022</v>
      </c>
      <c r="K65" s="110">
        <v>45658</v>
      </c>
      <c r="L65" s="110">
        <v>46022</v>
      </c>
      <c r="M65" s="111">
        <v>45777</v>
      </c>
      <c r="N65" s="111">
        <v>45869</v>
      </c>
      <c r="O65" s="111">
        <v>45961</v>
      </c>
      <c r="P65" s="112"/>
      <c r="Q65" s="113" t="s">
        <v>479</v>
      </c>
      <c r="R65" s="113"/>
      <c r="S65" s="114" t="s">
        <v>480</v>
      </c>
      <c r="T65" s="115" t="s">
        <v>481</v>
      </c>
      <c r="U65" s="116">
        <v>666668000</v>
      </c>
      <c r="V65" s="116">
        <v>546699303</v>
      </c>
      <c r="W65" s="116">
        <v>119968697</v>
      </c>
      <c r="X65" s="106" t="s">
        <v>245</v>
      </c>
      <c r="Y65" s="117" t="s">
        <v>251</v>
      </c>
      <c r="Z65" s="117">
        <v>233</v>
      </c>
      <c r="AA65" s="117">
        <v>11</v>
      </c>
      <c r="AB65" s="117">
        <v>0</v>
      </c>
      <c r="AC65" s="117">
        <v>4</v>
      </c>
      <c r="AD65" s="118">
        <v>0.9527896995708155</v>
      </c>
      <c r="AE65" s="117" t="s">
        <v>35</v>
      </c>
      <c r="AF65" s="117" t="s">
        <v>35</v>
      </c>
      <c r="AG65" s="117"/>
      <c r="AH65" s="106"/>
      <c r="AI65" s="106"/>
      <c r="AJ65" s="106"/>
      <c r="AK65" s="119" t="s">
        <v>35</v>
      </c>
      <c r="AL65" s="119"/>
    </row>
    <row r="66" spans="1:38" ht="49.5" x14ac:dyDescent="0.3">
      <c r="A66" s="105">
        <v>343</v>
      </c>
      <c r="B66" s="106" t="s">
        <v>325</v>
      </c>
      <c r="C66" s="107" t="s">
        <v>43</v>
      </c>
      <c r="D66" s="108" t="s">
        <v>37</v>
      </c>
      <c r="E66" s="106" t="s">
        <v>482</v>
      </c>
      <c r="F66" s="109">
        <v>4</v>
      </c>
      <c r="G66" s="109">
        <v>1</v>
      </c>
      <c r="H66" s="109" t="s">
        <v>242</v>
      </c>
      <c r="I66" s="110">
        <v>45658</v>
      </c>
      <c r="J66" s="110">
        <v>46022</v>
      </c>
      <c r="K66" s="110">
        <v>45658</v>
      </c>
      <c r="L66" s="110">
        <v>46022</v>
      </c>
      <c r="M66" s="111">
        <v>45777</v>
      </c>
      <c r="N66" s="111">
        <v>45869</v>
      </c>
      <c r="O66" s="111">
        <v>45961</v>
      </c>
      <c r="P66" s="112"/>
      <c r="Q66" s="113" t="s">
        <v>483</v>
      </c>
      <c r="R66" s="113"/>
      <c r="S66" s="114" t="s">
        <v>484</v>
      </c>
      <c r="T66" s="115" t="s">
        <v>485</v>
      </c>
      <c r="U66" s="116">
        <v>146667000</v>
      </c>
      <c r="V66" s="116">
        <v>146667000</v>
      </c>
      <c r="W66" s="116">
        <v>0</v>
      </c>
      <c r="X66" s="106" t="s">
        <v>245</v>
      </c>
      <c r="Y66" s="117" t="s">
        <v>251</v>
      </c>
      <c r="Z66" s="117">
        <v>84</v>
      </c>
      <c r="AA66" s="117">
        <v>0</v>
      </c>
      <c r="AB66" s="117">
        <v>0</v>
      </c>
      <c r="AC66" s="117">
        <v>1</v>
      </c>
      <c r="AD66" s="118">
        <v>1</v>
      </c>
      <c r="AE66" s="117" t="s">
        <v>35</v>
      </c>
      <c r="AF66" s="117" t="s">
        <v>35</v>
      </c>
      <c r="AG66" s="117"/>
      <c r="AH66" s="106"/>
      <c r="AI66" s="106"/>
      <c r="AJ66" s="106"/>
      <c r="AK66" s="119" t="s">
        <v>35</v>
      </c>
      <c r="AL66" s="119"/>
    </row>
    <row r="67" spans="1:38" ht="66" x14ac:dyDescent="0.3">
      <c r="A67" s="105">
        <v>59</v>
      </c>
      <c r="B67" s="106" t="s">
        <v>112</v>
      </c>
      <c r="C67" s="107" t="s">
        <v>43</v>
      </c>
      <c r="D67" s="108" t="s">
        <v>92</v>
      </c>
      <c r="E67" s="106" t="s">
        <v>93</v>
      </c>
      <c r="F67" s="109">
        <v>0</v>
      </c>
      <c r="G67" s="109">
        <v>2</v>
      </c>
      <c r="H67" s="109" t="s">
        <v>242</v>
      </c>
      <c r="I67" s="110">
        <v>45658</v>
      </c>
      <c r="J67" s="110">
        <v>46022</v>
      </c>
      <c r="K67" s="110">
        <v>45383</v>
      </c>
      <c r="L67" s="110">
        <v>46387</v>
      </c>
      <c r="M67" s="111">
        <v>45777</v>
      </c>
      <c r="N67" s="111">
        <v>45869</v>
      </c>
      <c r="O67" s="111">
        <v>45961</v>
      </c>
      <c r="P67" s="112"/>
      <c r="Q67" s="113" t="s">
        <v>94</v>
      </c>
      <c r="R67" s="113"/>
      <c r="S67" s="114" t="s">
        <v>486</v>
      </c>
      <c r="T67" s="115" t="s">
        <v>95</v>
      </c>
      <c r="U67" s="116">
        <v>1033750744</v>
      </c>
      <c r="V67" s="116">
        <v>1033749678</v>
      </c>
      <c r="W67" s="116">
        <v>1066</v>
      </c>
      <c r="X67" s="106" t="s">
        <v>253</v>
      </c>
      <c r="Y67" s="117" t="s">
        <v>251</v>
      </c>
      <c r="Z67" s="117">
        <v>258</v>
      </c>
      <c r="AA67" s="117">
        <v>15</v>
      </c>
      <c r="AB67" s="117">
        <v>0</v>
      </c>
      <c r="AC67" s="117">
        <v>6</v>
      </c>
      <c r="AD67" s="118">
        <v>0.94186046511627908</v>
      </c>
      <c r="AE67" s="117" t="s">
        <v>35</v>
      </c>
      <c r="AF67" s="117" t="s">
        <v>35</v>
      </c>
      <c r="AG67" s="106"/>
      <c r="AH67" s="106"/>
      <c r="AI67" s="106"/>
      <c r="AJ67" s="106"/>
      <c r="AK67" s="119"/>
      <c r="AL67" s="119"/>
    </row>
    <row r="68" spans="1:38" ht="49.5" x14ac:dyDescent="0.3">
      <c r="A68" s="105">
        <v>126</v>
      </c>
      <c r="B68" s="106" t="s">
        <v>112</v>
      </c>
      <c r="C68" s="107" t="s">
        <v>43</v>
      </c>
      <c r="D68" s="108" t="s">
        <v>96</v>
      </c>
      <c r="E68" s="106" t="s">
        <v>487</v>
      </c>
      <c r="F68" s="109">
        <v>0</v>
      </c>
      <c r="G68" s="109">
        <v>3</v>
      </c>
      <c r="H68" s="109" t="s">
        <v>242</v>
      </c>
      <c r="I68" s="110">
        <v>45658</v>
      </c>
      <c r="J68" s="110">
        <v>46022</v>
      </c>
      <c r="K68" s="110">
        <v>45017</v>
      </c>
      <c r="L68" s="110">
        <v>46022</v>
      </c>
      <c r="M68" s="111">
        <v>45777</v>
      </c>
      <c r="N68" s="111">
        <v>45869</v>
      </c>
      <c r="O68" s="111">
        <v>45961</v>
      </c>
      <c r="P68" s="112"/>
      <c r="Q68" s="113" t="s">
        <v>192</v>
      </c>
      <c r="R68" s="113"/>
      <c r="S68" s="114" t="s">
        <v>488</v>
      </c>
      <c r="T68" s="115" t="s">
        <v>489</v>
      </c>
      <c r="U68" s="116">
        <v>201456170</v>
      </c>
      <c r="V68" s="116">
        <v>201456170</v>
      </c>
      <c r="W68" s="116">
        <v>0</v>
      </c>
      <c r="X68" s="106" t="s">
        <v>245</v>
      </c>
      <c r="Y68" s="117" t="s">
        <v>258</v>
      </c>
      <c r="Z68" s="117">
        <v>57</v>
      </c>
      <c r="AA68" s="117">
        <v>1</v>
      </c>
      <c r="AB68" s="117">
        <v>12</v>
      </c>
      <c r="AC68" s="117">
        <v>0</v>
      </c>
      <c r="AD68" s="118">
        <v>0.98245614035087714</v>
      </c>
      <c r="AE68" s="117" t="s">
        <v>35</v>
      </c>
      <c r="AF68" s="117" t="s">
        <v>35</v>
      </c>
      <c r="AG68" s="106"/>
      <c r="AH68" s="106"/>
      <c r="AI68" s="106"/>
      <c r="AJ68" s="106"/>
      <c r="AK68" s="119"/>
      <c r="AL68" s="119"/>
    </row>
    <row r="69" spans="1:38" ht="82.5" x14ac:dyDescent="0.3">
      <c r="A69" s="105">
        <v>127</v>
      </c>
      <c r="B69" s="106" t="s">
        <v>112</v>
      </c>
      <c r="C69" s="107" t="s">
        <v>43</v>
      </c>
      <c r="D69" s="108" t="s">
        <v>96</v>
      </c>
      <c r="E69" s="106" t="s">
        <v>97</v>
      </c>
      <c r="F69" s="109">
        <v>0</v>
      </c>
      <c r="G69" s="109">
        <v>3</v>
      </c>
      <c r="H69" s="109" t="s">
        <v>242</v>
      </c>
      <c r="I69" s="110">
        <v>45658</v>
      </c>
      <c r="J69" s="110">
        <v>46022</v>
      </c>
      <c r="K69" s="110">
        <v>45017</v>
      </c>
      <c r="L69" s="110">
        <v>46022</v>
      </c>
      <c r="M69" s="111">
        <v>45777</v>
      </c>
      <c r="N69" s="111">
        <v>45869</v>
      </c>
      <c r="O69" s="111">
        <v>45961</v>
      </c>
      <c r="P69" s="112"/>
      <c r="Q69" s="113" t="s">
        <v>98</v>
      </c>
      <c r="R69" s="113"/>
      <c r="S69" s="114" t="s">
        <v>490</v>
      </c>
      <c r="T69" s="115" t="s">
        <v>99</v>
      </c>
      <c r="U69" s="116">
        <v>962617138</v>
      </c>
      <c r="V69" s="116">
        <v>962018662</v>
      </c>
      <c r="W69" s="116">
        <v>598476</v>
      </c>
      <c r="X69" s="106" t="s">
        <v>253</v>
      </c>
      <c r="Y69" s="117" t="s">
        <v>251</v>
      </c>
      <c r="Z69" s="117">
        <v>271</v>
      </c>
      <c r="AA69" s="117">
        <v>0</v>
      </c>
      <c r="AB69" s="117">
        <v>3</v>
      </c>
      <c r="AC69" s="117">
        <v>5</v>
      </c>
      <c r="AD69" s="118">
        <v>1</v>
      </c>
      <c r="AE69" s="117" t="s">
        <v>35</v>
      </c>
      <c r="AF69" s="117" t="s">
        <v>35</v>
      </c>
      <c r="AG69" s="106"/>
      <c r="AH69" s="106"/>
      <c r="AI69" s="106"/>
      <c r="AJ69" s="106"/>
      <c r="AK69" s="119"/>
      <c r="AL69" s="119"/>
    </row>
    <row r="70" spans="1:38" ht="82.5" x14ac:dyDescent="0.3">
      <c r="A70" s="105">
        <v>159</v>
      </c>
      <c r="B70" s="106" t="s">
        <v>112</v>
      </c>
      <c r="C70" s="107" t="s">
        <v>43</v>
      </c>
      <c r="D70" s="108" t="s">
        <v>100</v>
      </c>
      <c r="E70" s="106" t="s">
        <v>491</v>
      </c>
      <c r="F70" s="109">
        <v>0</v>
      </c>
      <c r="G70" s="109">
        <v>3</v>
      </c>
      <c r="H70" s="109" t="s">
        <v>242</v>
      </c>
      <c r="I70" s="110">
        <v>45658</v>
      </c>
      <c r="J70" s="110">
        <v>46022</v>
      </c>
      <c r="K70" s="110">
        <v>45017</v>
      </c>
      <c r="L70" s="110">
        <v>46022</v>
      </c>
      <c r="M70" s="111">
        <v>45777</v>
      </c>
      <c r="N70" s="111">
        <v>45869</v>
      </c>
      <c r="O70" s="111">
        <v>45961</v>
      </c>
      <c r="P70" s="112"/>
      <c r="Q70" s="113" t="s">
        <v>492</v>
      </c>
      <c r="R70" s="113"/>
      <c r="S70" s="114" t="s">
        <v>493</v>
      </c>
      <c r="T70" s="115" t="s">
        <v>494</v>
      </c>
      <c r="U70" s="116">
        <v>102412498</v>
      </c>
      <c r="V70" s="116">
        <v>98227633</v>
      </c>
      <c r="W70" s="116">
        <v>4184865</v>
      </c>
      <c r="X70" s="106" t="s">
        <v>245</v>
      </c>
      <c r="Y70" s="117" t="s">
        <v>251</v>
      </c>
      <c r="Z70" s="117">
        <v>277</v>
      </c>
      <c r="AA70" s="117">
        <v>0</v>
      </c>
      <c r="AB70" s="117">
        <v>208</v>
      </c>
      <c r="AC70" s="117">
        <v>31</v>
      </c>
      <c r="AD70" s="118">
        <v>1</v>
      </c>
      <c r="AE70" s="117" t="s">
        <v>35</v>
      </c>
      <c r="AF70" s="117" t="s">
        <v>35</v>
      </c>
      <c r="AG70" s="106"/>
      <c r="AH70" s="106"/>
      <c r="AI70" s="106"/>
      <c r="AJ70" s="106"/>
      <c r="AK70" s="119"/>
      <c r="AL70" s="119"/>
    </row>
    <row r="71" spans="1:38" ht="66" x14ac:dyDescent="0.3">
      <c r="A71" s="105">
        <v>160</v>
      </c>
      <c r="B71" s="106" t="s">
        <v>112</v>
      </c>
      <c r="C71" s="107" t="s">
        <v>43</v>
      </c>
      <c r="D71" s="108" t="s">
        <v>100</v>
      </c>
      <c r="E71" s="106" t="s">
        <v>101</v>
      </c>
      <c r="F71" s="109">
        <v>0</v>
      </c>
      <c r="G71" s="109">
        <v>3</v>
      </c>
      <c r="H71" s="109" t="s">
        <v>242</v>
      </c>
      <c r="I71" s="110">
        <v>45658</v>
      </c>
      <c r="J71" s="110">
        <v>46022</v>
      </c>
      <c r="K71" s="110">
        <v>45017</v>
      </c>
      <c r="L71" s="110">
        <v>46022</v>
      </c>
      <c r="M71" s="111">
        <v>45777</v>
      </c>
      <c r="N71" s="111">
        <v>45869</v>
      </c>
      <c r="O71" s="111">
        <v>45961</v>
      </c>
      <c r="P71" s="112"/>
      <c r="Q71" s="113" t="s">
        <v>102</v>
      </c>
      <c r="R71" s="113"/>
      <c r="S71" s="114" t="s">
        <v>495</v>
      </c>
      <c r="T71" s="115" t="s">
        <v>103</v>
      </c>
      <c r="U71" s="116">
        <v>377351279</v>
      </c>
      <c r="V71" s="116">
        <v>377351190</v>
      </c>
      <c r="W71" s="116">
        <v>89</v>
      </c>
      <c r="X71" s="106" t="s">
        <v>253</v>
      </c>
      <c r="Y71" s="117" t="s">
        <v>246</v>
      </c>
      <c r="Z71" s="117">
        <v>309</v>
      </c>
      <c r="AA71" s="117">
        <v>0</v>
      </c>
      <c r="AB71" s="117">
        <v>0</v>
      </c>
      <c r="AC71" s="117">
        <v>0</v>
      </c>
      <c r="AD71" s="118">
        <v>1</v>
      </c>
      <c r="AE71" s="117" t="s">
        <v>35</v>
      </c>
      <c r="AF71" s="117" t="s">
        <v>35</v>
      </c>
      <c r="AG71" s="106"/>
      <c r="AH71" s="106"/>
      <c r="AI71" s="106"/>
      <c r="AJ71" s="106"/>
      <c r="AK71" s="119"/>
      <c r="AL71" s="119"/>
    </row>
    <row r="72" spans="1:38" ht="66" x14ac:dyDescent="0.3">
      <c r="A72" s="105">
        <v>169</v>
      </c>
      <c r="B72" s="106" t="s">
        <v>112</v>
      </c>
      <c r="C72" s="107" t="s">
        <v>43</v>
      </c>
      <c r="D72" s="108" t="s">
        <v>104</v>
      </c>
      <c r="E72" s="106" t="s">
        <v>496</v>
      </c>
      <c r="F72" s="109">
        <v>2</v>
      </c>
      <c r="G72" s="109">
        <v>1</v>
      </c>
      <c r="H72" s="109" t="s">
        <v>242</v>
      </c>
      <c r="I72" s="110">
        <v>45658</v>
      </c>
      <c r="J72" s="110">
        <v>46022</v>
      </c>
      <c r="K72" s="110">
        <v>45658</v>
      </c>
      <c r="L72" s="110">
        <v>46387</v>
      </c>
      <c r="M72" s="111">
        <v>45777</v>
      </c>
      <c r="N72" s="111">
        <v>45869</v>
      </c>
      <c r="O72" s="111">
        <v>45961</v>
      </c>
      <c r="P72" s="112"/>
      <c r="Q72" s="113" t="s">
        <v>137</v>
      </c>
      <c r="R72" s="113"/>
      <c r="S72" s="114" t="s">
        <v>497</v>
      </c>
      <c r="T72" s="115" t="s">
        <v>498</v>
      </c>
      <c r="U72" s="116">
        <v>238500000</v>
      </c>
      <c r="V72" s="116">
        <v>232524215</v>
      </c>
      <c r="W72" s="116">
        <v>5975785</v>
      </c>
      <c r="X72" s="106" t="s">
        <v>245</v>
      </c>
      <c r="Y72" s="117" t="s">
        <v>251</v>
      </c>
      <c r="Z72" s="117">
        <v>164</v>
      </c>
      <c r="AA72" s="117">
        <v>0</v>
      </c>
      <c r="AB72" s="117">
        <v>0</v>
      </c>
      <c r="AC72" s="117">
        <v>113</v>
      </c>
      <c r="AD72" s="118">
        <v>1</v>
      </c>
      <c r="AE72" s="117" t="s">
        <v>35</v>
      </c>
      <c r="AF72" s="117" t="s">
        <v>35</v>
      </c>
      <c r="AG72" s="106"/>
      <c r="AH72" s="106"/>
      <c r="AI72" s="106"/>
      <c r="AJ72" s="106"/>
      <c r="AK72" s="119"/>
      <c r="AL72" s="119"/>
    </row>
    <row r="73" spans="1:38" ht="66" x14ac:dyDescent="0.3">
      <c r="A73" s="105">
        <v>170</v>
      </c>
      <c r="B73" s="106" t="s">
        <v>112</v>
      </c>
      <c r="C73" s="107" t="s">
        <v>43</v>
      </c>
      <c r="D73" s="108" t="s">
        <v>104</v>
      </c>
      <c r="E73" s="106" t="s">
        <v>105</v>
      </c>
      <c r="F73" s="109">
        <v>2</v>
      </c>
      <c r="G73" s="109">
        <v>1</v>
      </c>
      <c r="H73" s="109" t="s">
        <v>242</v>
      </c>
      <c r="I73" s="110">
        <v>45658</v>
      </c>
      <c r="J73" s="110">
        <v>46022</v>
      </c>
      <c r="K73" s="110">
        <v>45658</v>
      </c>
      <c r="L73" s="110">
        <v>46387</v>
      </c>
      <c r="M73" s="111">
        <v>45777</v>
      </c>
      <c r="N73" s="111">
        <v>45869</v>
      </c>
      <c r="O73" s="111">
        <v>45961</v>
      </c>
      <c r="P73" s="112"/>
      <c r="Q73" s="113" t="s">
        <v>106</v>
      </c>
      <c r="R73" s="113"/>
      <c r="S73" s="114" t="s">
        <v>499</v>
      </c>
      <c r="T73" s="115" t="s">
        <v>107</v>
      </c>
      <c r="U73" s="116">
        <v>238500000</v>
      </c>
      <c r="V73" s="116">
        <v>238460901</v>
      </c>
      <c r="W73" s="116">
        <v>39099</v>
      </c>
      <c r="X73" s="106" t="s">
        <v>253</v>
      </c>
      <c r="Y73" s="117" t="s">
        <v>286</v>
      </c>
      <c r="Z73" s="117">
        <v>119</v>
      </c>
      <c r="AA73" s="117">
        <v>4</v>
      </c>
      <c r="AB73" s="117">
        <v>9</v>
      </c>
      <c r="AC73" s="117">
        <v>0</v>
      </c>
      <c r="AD73" s="118">
        <v>0.96638655462184875</v>
      </c>
      <c r="AE73" s="117" t="s">
        <v>35</v>
      </c>
      <c r="AF73" s="117" t="s">
        <v>35</v>
      </c>
      <c r="AG73" s="106"/>
      <c r="AH73" s="106"/>
      <c r="AI73" s="106"/>
      <c r="AJ73" s="106"/>
      <c r="AK73" s="119"/>
      <c r="AL73" s="119"/>
    </row>
    <row r="74" spans="1:38" ht="49.5" x14ac:dyDescent="0.3">
      <c r="A74" s="105">
        <v>171</v>
      </c>
      <c r="B74" s="106" t="s">
        <v>112</v>
      </c>
      <c r="C74" s="107" t="s">
        <v>43</v>
      </c>
      <c r="D74" s="108" t="s">
        <v>108</v>
      </c>
      <c r="E74" s="106" t="s">
        <v>500</v>
      </c>
      <c r="F74" s="109">
        <v>2</v>
      </c>
      <c r="G74" s="109">
        <v>1</v>
      </c>
      <c r="H74" s="109" t="s">
        <v>242</v>
      </c>
      <c r="I74" s="110">
        <v>45658</v>
      </c>
      <c r="J74" s="110">
        <v>46022</v>
      </c>
      <c r="K74" s="110">
        <v>45658</v>
      </c>
      <c r="L74" s="110">
        <v>46022</v>
      </c>
      <c r="M74" s="111">
        <v>45777</v>
      </c>
      <c r="N74" s="111">
        <v>45869</v>
      </c>
      <c r="O74" s="111">
        <v>45961</v>
      </c>
      <c r="P74" s="112"/>
      <c r="Q74" s="113" t="s">
        <v>501</v>
      </c>
      <c r="R74" s="113"/>
      <c r="S74" s="114" t="s">
        <v>502</v>
      </c>
      <c r="T74" s="115" t="s">
        <v>503</v>
      </c>
      <c r="U74" s="116">
        <v>207680311</v>
      </c>
      <c r="V74" s="116">
        <v>207629311</v>
      </c>
      <c r="W74" s="116">
        <v>51000</v>
      </c>
      <c r="X74" s="106" t="s">
        <v>245</v>
      </c>
      <c r="Y74" s="117" t="s">
        <v>251</v>
      </c>
      <c r="Z74" s="117">
        <v>74</v>
      </c>
      <c r="AA74" s="117">
        <v>0</v>
      </c>
      <c r="AB74" s="117">
        <v>0</v>
      </c>
      <c r="AC74" s="117">
        <v>4</v>
      </c>
      <c r="AD74" s="118">
        <v>1</v>
      </c>
      <c r="AE74" s="117" t="s">
        <v>35</v>
      </c>
      <c r="AF74" s="117" t="s">
        <v>35</v>
      </c>
      <c r="AG74" s="106"/>
      <c r="AH74" s="106"/>
      <c r="AI74" s="106"/>
      <c r="AJ74" s="106"/>
      <c r="AK74" s="119"/>
      <c r="AL74" s="119"/>
    </row>
    <row r="75" spans="1:38" ht="49.5" x14ac:dyDescent="0.3">
      <c r="A75" s="105">
        <v>172</v>
      </c>
      <c r="B75" s="106" t="s">
        <v>112</v>
      </c>
      <c r="C75" s="107" t="s">
        <v>43</v>
      </c>
      <c r="D75" s="108" t="s">
        <v>108</v>
      </c>
      <c r="E75" s="106" t="s">
        <v>109</v>
      </c>
      <c r="F75" s="109">
        <v>2</v>
      </c>
      <c r="G75" s="109">
        <v>1</v>
      </c>
      <c r="H75" s="109" t="s">
        <v>242</v>
      </c>
      <c r="I75" s="110">
        <v>45658</v>
      </c>
      <c r="J75" s="110">
        <v>46022</v>
      </c>
      <c r="K75" s="110">
        <v>45658</v>
      </c>
      <c r="L75" s="110">
        <v>46022</v>
      </c>
      <c r="M75" s="111">
        <v>45777</v>
      </c>
      <c r="N75" s="111">
        <v>45869</v>
      </c>
      <c r="O75" s="111">
        <v>45961</v>
      </c>
      <c r="P75" s="112"/>
      <c r="Q75" s="113" t="s">
        <v>110</v>
      </c>
      <c r="R75" s="113"/>
      <c r="S75" s="114" t="s">
        <v>504</v>
      </c>
      <c r="T75" s="115" t="s">
        <v>111</v>
      </c>
      <c r="U75" s="116">
        <v>150030000</v>
      </c>
      <c r="V75" s="116">
        <v>149995927</v>
      </c>
      <c r="W75" s="116">
        <v>34073</v>
      </c>
      <c r="X75" s="106" t="s">
        <v>253</v>
      </c>
      <c r="Y75" s="117" t="s">
        <v>258</v>
      </c>
      <c r="Z75" s="117">
        <v>82</v>
      </c>
      <c r="AA75" s="117">
        <v>0</v>
      </c>
      <c r="AB75" s="117">
        <v>5</v>
      </c>
      <c r="AC75" s="117">
        <v>0</v>
      </c>
      <c r="AD75" s="118">
        <v>1</v>
      </c>
      <c r="AE75" s="117" t="s">
        <v>35</v>
      </c>
      <c r="AF75" s="117" t="s">
        <v>35</v>
      </c>
      <c r="AG75" s="106"/>
      <c r="AH75" s="106"/>
      <c r="AI75" s="106"/>
      <c r="AJ75" s="106"/>
      <c r="AK75" s="119"/>
      <c r="AL75" s="119"/>
    </row>
    <row r="76" spans="1:38" ht="66" x14ac:dyDescent="0.3">
      <c r="A76" s="105">
        <v>231</v>
      </c>
      <c r="B76" s="106" t="s">
        <v>112</v>
      </c>
      <c r="C76" s="107" t="s">
        <v>43</v>
      </c>
      <c r="D76" s="108" t="s">
        <v>505</v>
      </c>
      <c r="E76" s="106" t="s">
        <v>506</v>
      </c>
      <c r="F76" s="109">
        <v>2</v>
      </c>
      <c r="G76" s="109">
        <v>2</v>
      </c>
      <c r="H76" s="109" t="s">
        <v>242</v>
      </c>
      <c r="I76" s="110">
        <v>45658</v>
      </c>
      <c r="J76" s="110">
        <v>46022</v>
      </c>
      <c r="K76" s="110">
        <v>45292</v>
      </c>
      <c r="L76" s="110">
        <v>46022</v>
      </c>
      <c r="M76" s="111">
        <v>45777</v>
      </c>
      <c r="N76" s="111">
        <v>45869</v>
      </c>
      <c r="O76" s="111">
        <v>45961</v>
      </c>
      <c r="P76" s="112"/>
      <c r="Q76" s="113" t="s">
        <v>507</v>
      </c>
      <c r="R76" s="113"/>
      <c r="S76" s="114" t="s">
        <v>508</v>
      </c>
      <c r="T76" s="115" t="s">
        <v>116</v>
      </c>
      <c r="U76" s="116">
        <v>694971777</v>
      </c>
      <c r="V76" s="116">
        <v>687104789</v>
      </c>
      <c r="W76" s="116">
        <v>7866988</v>
      </c>
      <c r="X76" s="106" t="s">
        <v>376</v>
      </c>
      <c r="Y76" s="117" t="s">
        <v>251</v>
      </c>
      <c r="Z76" s="117">
        <v>317</v>
      </c>
      <c r="AA76" s="117">
        <v>0</v>
      </c>
      <c r="AB76" s="117">
        <v>0</v>
      </c>
      <c r="AC76" s="117">
        <v>31</v>
      </c>
      <c r="AD76" s="118">
        <v>1</v>
      </c>
      <c r="AE76" s="117" t="s">
        <v>35</v>
      </c>
      <c r="AF76" s="117" t="s">
        <v>35</v>
      </c>
      <c r="AG76" s="106"/>
      <c r="AH76" s="106"/>
      <c r="AI76" s="106"/>
      <c r="AJ76" s="106"/>
      <c r="AK76" s="119"/>
      <c r="AL76" s="119"/>
    </row>
    <row r="77" spans="1:38" ht="49.5" x14ac:dyDescent="0.3">
      <c r="A77" s="105">
        <v>102</v>
      </c>
      <c r="B77" s="106" t="s">
        <v>80</v>
      </c>
      <c r="C77" s="107" t="s">
        <v>43</v>
      </c>
      <c r="D77" s="108" t="s">
        <v>70</v>
      </c>
      <c r="E77" s="106" t="s">
        <v>71</v>
      </c>
      <c r="F77" s="109">
        <v>0</v>
      </c>
      <c r="G77" s="109">
        <v>3</v>
      </c>
      <c r="H77" s="109" t="s">
        <v>242</v>
      </c>
      <c r="I77" s="110">
        <v>45658</v>
      </c>
      <c r="J77" s="110">
        <v>46022</v>
      </c>
      <c r="K77" s="110">
        <v>45200</v>
      </c>
      <c r="L77" s="110">
        <v>46295</v>
      </c>
      <c r="M77" s="111">
        <v>45777</v>
      </c>
      <c r="N77" s="111">
        <v>45869</v>
      </c>
      <c r="O77" s="111">
        <v>45961</v>
      </c>
      <c r="P77" s="112"/>
      <c r="Q77" s="113" t="s">
        <v>72</v>
      </c>
      <c r="R77" s="113"/>
      <c r="S77" s="114" t="s">
        <v>509</v>
      </c>
      <c r="T77" s="115" t="s">
        <v>73</v>
      </c>
      <c r="U77" s="116">
        <v>1171245604</v>
      </c>
      <c r="V77" s="116">
        <v>802641609</v>
      </c>
      <c r="W77" s="116">
        <v>368603995</v>
      </c>
      <c r="X77" s="106" t="s">
        <v>253</v>
      </c>
      <c r="Y77" s="117" t="s">
        <v>251</v>
      </c>
      <c r="Z77" s="117">
        <v>123</v>
      </c>
      <c r="AA77" s="117">
        <v>3</v>
      </c>
      <c r="AB77" s="117">
        <v>0</v>
      </c>
      <c r="AC77" s="117">
        <v>23</v>
      </c>
      <c r="AD77" s="118">
        <v>0.97560975609756095</v>
      </c>
      <c r="AE77" s="117" t="s">
        <v>35</v>
      </c>
      <c r="AF77" s="117" t="s">
        <v>35</v>
      </c>
      <c r="AG77" s="106"/>
      <c r="AH77" s="106"/>
      <c r="AI77" s="106"/>
      <c r="AJ77" s="106"/>
      <c r="AK77" s="119"/>
      <c r="AL77" s="119"/>
    </row>
    <row r="78" spans="1:38" ht="82.5" x14ac:dyDescent="0.3">
      <c r="A78" s="105">
        <v>138</v>
      </c>
      <c r="B78" s="106" t="s">
        <v>80</v>
      </c>
      <c r="C78" s="107" t="s">
        <v>43</v>
      </c>
      <c r="D78" s="108" t="s">
        <v>76</v>
      </c>
      <c r="E78" s="106" t="s">
        <v>77</v>
      </c>
      <c r="F78" s="109">
        <v>1</v>
      </c>
      <c r="G78" s="109">
        <v>4</v>
      </c>
      <c r="H78" s="109" t="s">
        <v>242</v>
      </c>
      <c r="I78" s="110">
        <v>45658</v>
      </c>
      <c r="J78" s="110">
        <v>46022</v>
      </c>
      <c r="K78" s="110">
        <v>44562</v>
      </c>
      <c r="L78" s="110">
        <v>46022</v>
      </c>
      <c r="M78" s="111">
        <v>45777</v>
      </c>
      <c r="N78" s="111">
        <v>45869</v>
      </c>
      <c r="O78" s="111">
        <v>45961</v>
      </c>
      <c r="P78" s="112"/>
      <c r="Q78" s="113" t="s">
        <v>78</v>
      </c>
      <c r="R78" s="113"/>
      <c r="S78" s="114" t="s">
        <v>510</v>
      </c>
      <c r="T78" s="115" t="s">
        <v>63</v>
      </c>
      <c r="U78" s="116">
        <v>4031718929</v>
      </c>
      <c r="V78" s="116">
        <v>3880740280</v>
      </c>
      <c r="W78" s="116">
        <v>150978649</v>
      </c>
      <c r="X78" s="106" t="s">
        <v>253</v>
      </c>
      <c r="Y78" s="117" t="s">
        <v>286</v>
      </c>
      <c r="Z78" s="117">
        <v>748</v>
      </c>
      <c r="AA78" s="117">
        <v>35</v>
      </c>
      <c r="AB78" s="117">
        <v>0</v>
      </c>
      <c r="AC78" s="117">
        <v>0</v>
      </c>
      <c r="AD78" s="118">
        <v>0.95320855614973266</v>
      </c>
      <c r="AE78" s="117" t="s">
        <v>35</v>
      </c>
      <c r="AF78" s="117" t="s">
        <v>35</v>
      </c>
      <c r="AG78" s="106"/>
      <c r="AH78" s="106"/>
      <c r="AI78" s="106"/>
      <c r="AJ78" s="106"/>
      <c r="AK78" s="119"/>
      <c r="AL78" s="119"/>
    </row>
    <row r="79" spans="1:38" ht="33" x14ac:dyDescent="0.3">
      <c r="A79" s="122">
        <v>162</v>
      </c>
      <c r="B79" s="123" t="s">
        <v>80</v>
      </c>
      <c r="C79" s="124" t="s">
        <v>43</v>
      </c>
      <c r="D79" s="125" t="s">
        <v>81</v>
      </c>
      <c r="E79" s="126" t="s">
        <v>82</v>
      </c>
      <c r="F79" s="127">
        <v>0</v>
      </c>
      <c r="G79" s="127">
        <v>1</v>
      </c>
      <c r="H79" s="127" t="s">
        <v>242</v>
      </c>
      <c r="I79" s="128">
        <v>45931</v>
      </c>
      <c r="J79" s="128">
        <v>46022</v>
      </c>
      <c r="K79" s="128">
        <v>45931</v>
      </c>
      <c r="L79" s="128">
        <v>46660</v>
      </c>
      <c r="M79" s="128">
        <v>46053</v>
      </c>
      <c r="N79" s="128">
        <v>46142</v>
      </c>
      <c r="O79" s="128">
        <v>46234</v>
      </c>
      <c r="P79" s="126"/>
      <c r="Q79" s="129" t="s">
        <v>83</v>
      </c>
      <c r="R79" s="129"/>
      <c r="S79" s="130" t="s">
        <v>511</v>
      </c>
      <c r="T79" s="131" t="s">
        <v>84</v>
      </c>
      <c r="U79" s="132">
        <v>568991056</v>
      </c>
      <c r="V79" s="132">
        <v>391366363</v>
      </c>
      <c r="W79" s="132">
        <v>177624693</v>
      </c>
      <c r="X79" s="126" t="s">
        <v>253</v>
      </c>
      <c r="Y79" s="126" t="s">
        <v>375</v>
      </c>
      <c r="Z79" s="126">
        <v>17</v>
      </c>
      <c r="AA79" s="126">
        <v>17</v>
      </c>
      <c r="AB79" s="117">
        <v>0</v>
      </c>
      <c r="AC79" s="126">
        <v>0</v>
      </c>
      <c r="AD79" s="133">
        <v>0</v>
      </c>
      <c r="AE79" s="126" t="s">
        <v>35</v>
      </c>
      <c r="AF79" s="126" t="s">
        <v>35</v>
      </c>
      <c r="AG79" s="123"/>
      <c r="AH79" s="123" t="s">
        <v>512</v>
      </c>
      <c r="AI79" s="123"/>
      <c r="AJ79" s="123"/>
      <c r="AK79" s="119"/>
      <c r="AL79" s="119"/>
    </row>
    <row r="80" spans="1:38" ht="66" x14ac:dyDescent="0.3">
      <c r="A80" s="122">
        <v>168</v>
      </c>
      <c r="B80" s="123" t="s">
        <v>80</v>
      </c>
      <c r="C80" s="124" t="s">
        <v>43</v>
      </c>
      <c r="D80" s="125" t="s">
        <v>87</v>
      </c>
      <c r="E80" s="126" t="s">
        <v>88</v>
      </c>
      <c r="F80" s="127">
        <v>0</v>
      </c>
      <c r="G80" s="127">
        <v>1</v>
      </c>
      <c r="H80" s="127" t="s">
        <v>242</v>
      </c>
      <c r="I80" s="128">
        <v>45931</v>
      </c>
      <c r="J80" s="128">
        <v>46022</v>
      </c>
      <c r="K80" s="128">
        <v>45931</v>
      </c>
      <c r="L80" s="128">
        <v>46660</v>
      </c>
      <c r="M80" s="128">
        <v>46053</v>
      </c>
      <c r="N80" s="128">
        <v>46142</v>
      </c>
      <c r="O80" s="128">
        <v>46234</v>
      </c>
      <c r="P80" s="126"/>
      <c r="Q80" s="129" t="s">
        <v>513</v>
      </c>
      <c r="R80" s="129"/>
      <c r="S80" s="130" t="s">
        <v>514</v>
      </c>
      <c r="T80" s="131" t="s">
        <v>90</v>
      </c>
      <c r="U80" s="132">
        <v>135079352</v>
      </c>
      <c r="V80" s="132">
        <v>55951050</v>
      </c>
      <c r="W80" s="132">
        <v>79128302</v>
      </c>
      <c r="X80" s="126" t="s">
        <v>253</v>
      </c>
      <c r="Y80" s="126" t="s">
        <v>375</v>
      </c>
      <c r="Z80" s="126">
        <v>17</v>
      </c>
      <c r="AA80" s="126">
        <v>17</v>
      </c>
      <c r="AB80" s="117">
        <v>0</v>
      </c>
      <c r="AC80" s="126">
        <v>0</v>
      </c>
      <c r="AD80" s="133">
        <v>0</v>
      </c>
      <c r="AE80" s="126" t="s">
        <v>35</v>
      </c>
      <c r="AF80" s="126" t="s">
        <v>35</v>
      </c>
      <c r="AG80" s="123"/>
      <c r="AH80" s="123" t="s">
        <v>512</v>
      </c>
      <c r="AI80" s="123"/>
      <c r="AJ80" s="123"/>
      <c r="AK80" s="119"/>
      <c r="AL80" s="119"/>
    </row>
    <row r="81" spans="1:38" ht="66" x14ac:dyDescent="0.3">
      <c r="A81" s="122">
        <v>169</v>
      </c>
      <c r="B81" s="123" t="s">
        <v>80</v>
      </c>
      <c r="C81" s="124" t="s">
        <v>43</v>
      </c>
      <c r="D81" s="125" t="s">
        <v>87</v>
      </c>
      <c r="E81" s="126" t="s">
        <v>515</v>
      </c>
      <c r="F81" s="127">
        <v>0</v>
      </c>
      <c r="G81" s="127">
        <v>1</v>
      </c>
      <c r="H81" s="127" t="s">
        <v>242</v>
      </c>
      <c r="I81" s="128">
        <v>45931</v>
      </c>
      <c r="J81" s="128">
        <v>46022</v>
      </c>
      <c r="K81" s="128">
        <v>45931</v>
      </c>
      <c r="L81" s="128">
        <v>46660</v>
      </c>
      <c r="M81" s="128">
        <v>46053</v>
      </c>
      <c r="N81" s="128">
        <v>46142</v>
      </c>
      <c r="O81" s="128">
        <v>46234</v>
      </c>
      <c r="P81" s="126"/>
      <c r="Q81" s="129" t="s">
        <v>516</v>
      </c>
      <c r="R81" s="129"/>
      <c r="S81" s="130" t="s">
        <v>517</v>
      </c>
      <c r="T81" s="131" t="s">
        <v>518</v>
      </c>
      <c r="U81" s="132">
        <v>15000620</v>
      </c>
      <c r="V81" s="132">
        <v>14302181</v>
      </c>
      <c r="W81" s="132">
        <v>698439</v>
      </c>
      <c r="X81" s="126" t="s">
        <v>303</v>
      </c>
      <c r="Y81" s="126" t="s">
        <v>375</v>
      </c>
      <c r="Z81" s="126">
        <v>10</v>
      </c>
      <c r="AA81" s="126">
        <v>10</v>
      </c>
      <c r="AB81" s="117">
        <v>0</v>
      </c>
      <c r="AC81" s="126">
        <v>0</v>
      </c>
      <c r="AD81" s="133">
        <v>0</v>
      </c>
      <c r="AE81" s="126" t="s">
        <v>35</v>
      </c>
      <c r="AF81" s="126" t="s">
        <v>35</v>
      </c>
      <c r="AG81" s="123"/>
      <c r="AH81" s="123" t="s">
        <v>512</v>
      </c>
      <c r="AI81" s="123"/>
      <c r="AJ81" s="123"/>
      <c r="AK81" s="119"/>
      <c r="AL81" s="119"/>
    </row>
    <row r="82" spans="1:38" ht="66" x14ac:dyDescent="0.3">
      <c r="A82" s="105">
        <v>76</v>
      </c>
      <c r="B82" s="106" t="s">
        <v>202</v>
      </c>
      <c r="C82" s="107" t="s">
        <v>43</v>
      </c>
      <c r="D82" s="108" t="s">
        <v>118</v>
      </c>
      <c r="E82" s="106" t="s">
        <v>119</v>
      </c>
      <c r="F82" s="109">
        <v>0</v>
      </c>
      <c r="G82" s="109">
        <v>1</v>
      </c>
      <c r="H82" s="109" t="s">
        <v>519</v>
      </c>
      <c r="I82" s="110">
        <v>45748</v>
      </c>
      <c r="J82" s="110">
        <v>46295</v>
      </c>
      <c r="K82" s="110">
        <v>45748</v>
      </c>
      <c r="L82" s="110">
        <v>46295</v>
      </c>
      <c r="M82" s="111">
        <v>45869</v>
      </c>
      <c r="N82" s="111">
        <v>45961</v>
      </c>
      <c r="O82" s="111">
        <v>46053</v>
      </c>
      <c r="P82" s="112"/>
      <c r="Q82" s="113" t="s">
        <v>102</v>
      </c>
      <c r="R82" s="113"/>
      <c r="S82" s="114" t="s">
        <v>495</v>
      </c>
      <c r="T82" s="115" t="s">
        <v>120</v>
      </c>
      <c r="U82" s="116">
        <v>100000000</v>
      </c>
      <c r="V82" s="116">
        <v>59552168</v>
      </c>
      <c r="W82" s="116">
        <v>40447832</v>
      </c>
      <c r="X82" s="106" t="s">
        <v>253</v>
      </c>
      <c r="Y82" s="117" t="s">
        <v>251</v>
      </c>
      <c r="Z82" s="117">
        <v>79</v>
      </c>
      <c r="AA82" s="117">
        <v>2</v>
      </c>
      <c r="AB82" s="117">
        <v>0</v>
      </c>
      <c r="AC82" s="117">
        <v>15</v>
      </c>
      <c r="AD82" s="118">
        <v>0.97468354430379744</v>
      </c>
      <c r="AE82" s="117" t="s">
        <v>35</v>
      </c>
      <c r="AF82" s="117" t="s">
        <v>35</v>
      </c>
      <c r="AG82" s="106"/>
      <c r="AH82" s="106"/>
      <c r="AI82" s="106"/>
      <c r="AJ82" s="106"/>
      <c r="AK82" s="119"/>
      <c r="AL82" s="119"/>
    </row>
    <row r="83" spans="1:38" ht="66" x14ac:dyDescent="0.3">
      <c r="A83" s="105">
        <v>98</v>
      </c>
      <c r="B83" s="106" t="s">
        <v>202</v>
      </c>
      <c r="C83" s="107" t="s">
        <v>43</v>
      </c>
      <c r="D83" s="108" t="s">
        <v>123</v>
      </c>
      <c r="E83" s="106" t="s">
        <v>520</v>
      </c>
      <c r="F83" s="109">
        <v>0</v>
      </c>
      <c r="G83" s="109">
        <v>1</v>
      </c>
      <c r="H83" s="109" t="s">
        <v>242</v>
      </c>
      <c r="I83" s="110">
        <v>45748</v>
      </c>
      <c r="J83" s="110">
        <v>46022</v>
      </c>
      <c r="K83" s="110">
        <v>45748</v>
      </c>
      <c r="L83" s="110">
        <v>46387</v>
      </c>
      <c r="M83" s="111">
        <v>45869</v>
      </c>
      <c r="N83" s="111">
        <v>45961</v>
      </c>
      <c r="O83" s="111">
        <v>46053</v>
      </c>
      <c r="P83" s="112"/>
      <c r="Q83" s="113" t="s">
        <v>182</v>
      </c>
      <c r="R83" s="113"/>
      <c r="S83" s="114" t="s">
        <v>521</v>
      </c>
      <c r="T83" s="115" t="s">
        <v>522</v>
      </c>
      <c r="U83" s="116">
        <v>25006882</v>
      </c>
      <c r="V83" s="116">
        <v>24043336</v>
      </c>
      <c r="W83" s="116">
        <v>963546</v>
      </c>
      <c r="X83" s="106" t="s">
        <v>245</v>
      </c>
      <c r="Y83" s="117" t="s">
        <v>251</v>
      </c>
      <c r="Z83" s="117">
        <v>19</v>
      </c>
      <c r="AA83" s="117">
        <v>15</v>
      </c>
      <c r="AB83" s="117">
        <v>0</v>
      </c>
      <c r="AC83" s="117">
        <v>4</v>
      </c>
      <c r="AD83" s="118">
        <v>0.21052631578947367</v>
      </c>
      <c r="AE83" s="117" t="s">
        <v>35</v>
      </c>
      <c r="AF83" s="117" t="s">
        <v>35</v>
      </c>
      <c r="AG83" s="106"/>
      <c r="AH83" s="106"/>
      <c r="AI83" s="106"/>
      <c r="AJ83" s="106"/>
      <c r="AK83" s="119"/>
      <c r="AL83" s="119"/>
    </row>
    <row r="84" spans="1:38" ht="66" x14ac:dyDescent="0.3">
      <c r="A84" s="105">
        <v>99</v>
      </c>
      <c r="B84" s="106" t="s">
        <v>202</v>
      </c>
      <c r="C84" s="107" t="s">
        <v>43</v>
      </c>
      <c r="D84" s="108" t="s">
        <v>123</v>
      </c>
      <c r="E84" s="106" t="s">
        <v>124</v>
      </c>
      <c r="F84" s="109">
        <v>0</v>
      </c>
      <c r="G84" s="109">
        <v>1</v>
      </c>
      <c r="H84" s="109" t="s">
        <v>242</v>
      </c>
      <c r="I84" s="110">
        <v>45748</v>
      </c>
      <c r="J84" s="110">
        <v>46022</v>
      </c>
      <c r="K84" s="110">
        <v>45748</v>
      </c>
      <c r="L84" s="110">
        <v>46387</v>
      </c>
      <c r="M84" s="111">
        <v>45869</v>
      </c>
      <c r="N84" s="111">
        <v>45961</v>
      </c>
      <c r="O84" s="111">
        <v>46053</v>
      </c>
      <c r="P84" s="112"/>
      <c r="Q84" s="113" t="s">
        <v>106</v>
      </c>
      <c r="R84" s="113"/>
      <c r="S84" s="114" t="s">
        <v>499</v>
      </c>
      <c r="T84" s="115" t="s">
        <v>125</v>
      </c>
      <c r="U84" s="116">
        <v>50000000</v>
      </c>
      <c r="V84" s="116">
        <v>3847145</v>
      </c>
      <c r="W84" s="116">
        <v>46152855</v>
      </c>
      <c r="X84" s="106" t="s">
        <v>253</v>
      </c>
      <c r="Y84" s="117" t="s">
        <v>375</v>
      </c>
      <c r="Z84" s="117">
        <v>4</v>
      </c>
      <c r="AA84" s="117">
        <v>4</v>
      </c>
      <c r="AB84" s="117">
        <v>0</v>
      </c>
      <c r="AC84" s="117">
        <v>0</v>
      </c>
      <c r="AD84" s="118">
        <v>0</v>
      </c>
      <c r="AE84" s="117" t="s">
        <v>35</v>
      </c>
      <c r="AF84" s="117" t="s">
        <v>35</v>
      </c>
      <c r="AG84" s="106"/>
      <c r="AH84" s="106"/>
      <c r="AI84" s="106"/>
      <c r="AJ84" s="106"/>
      <c r="AK84" s="119"/>
      <c r="AL84" s="119"/>
    </row>
    <row r="85" spans="1:38" ht="66" x14ac:dyDescent="0.3">
      <c r="A85" s="105">
        <v>153</v>
      </c>
      <c r="B85" s="106" t="s">
        <v>202</v>
      </c>
      <c r="C85" s="107" t="s">
        <v>43</v>
      </c>
      <c r="D85" s="108" t="s">
        <v>126</v>
      </c>
      <c r="E85" s="106" t="s">
        <v>523</v>
      </c>
      <c r="F85" s="109">
        <v>0</v>
      </c>
      <c r="G85" s="109">
        <v>1</v>
      </c>
      <c r="H85" s="109" t="s">
        <v>242</v>
      </c>
      <c r="I85" s="110">
        <v>45748</v>
      </c>
      <c r="J85" s="110">
        <v>46022</v>
      </c>
      <c r="K85" s="110">
        <v>45748</v>
      </c>
      <c r="L85" s="110">
        <v>46752</v>
      </c>
      <c r="M85" s="111">
        <v>45869</v>
      </c>
      <c r="N85" s="111">
        <v>45961</v>
      </c>
      <c r="O85" s="111">
        <v>46053</v>
      </c>
      <c r="P85" s="112"/>
      <c r="Q85" s="113" t="s">
        <v>524</v>
      </c>
      <c r="R85" s="113"/>
      <c r="S85" s="114" t="s">
        <v>525</v>
      </c>
      <c r="T85" s="115" t="s">
        <v>526</v>
      </c>
      <c r="U85" s="116">
        <v>112525115</v>
      </c>
      <c r="V85" s="116">
        <v>57927444</v>
      </c>
      <c r="W85" s="116">
        <v>54597671</v>
      </c>
      <c r="X85" s="106" t="s">
        <v>245</v>
      </c>
      <c r="Y85" s="117" t="s">
        <v>286</v>
      </c>
      <c r="Z85" s="117">
        <v>157</v>
      </c>
      <c r="AA85" s="117">
        <v>6</v>
      </c>
      <c r="AB85" s="117">
        <v>0</v>
      </c>
      <c r="AC85" s="117">
        <v>0</v>
      </c>
      <c r="AD85" s="118">
        <v>0.96178343949044587</v>
      </c>
      <c r="AE85" s="117" t="s">
        <v>35</v>
      </c>
      <c r="AF85" s="117" t="s">
        <v>35</v>
      </c>
      <c r="AG85" s="106"/>
      <c r="AH85" s="106"/>
      <c r="AI85" s="106"/>
      <c r="AJ85" s="106"/>
      <c r="AK85" s="119"/>
      <c r="AL85" s="119"/>
    </row>
    <row r="86" spans="1:38" ht="49.5" x14ac:dyDescent="0.3">
      <c r="A86" s="105">
        <v>154</v>
      </c>
      <c r="B86" s="106" t="s">
        <v>202</v>
      </c>
      <c r="C86" s="107" t="s">
        <v>43</v>
      </c>
      <c r="D86" s="108" t="s">
        <v>126</v>
      </c>
      <c r="E86" s="106" t="s">
        <v>527</v>
      </c>
      <c r="F86" s="109">
        <v>0</v>
      </c>
      <c r="G86" s="109">
        <v>1</v>
      </c>
      <c r="H86" s="109" t="s">
        <v>242</v>
      </c>
      <c r="I86" s="110">
        <v>45748</v>
      </c>
      <c r="J86" s="110">
        <v>46022</v>
      </c>
      <c r="K86" s="110">
        <v>45748</v>
      </c>
      <c r="L86" s="110">
        <v>46752</v>
      </c>
      <c r="M86" s="111">
        <v>45869</v>
      </c>
      <c r="N86" s="111">
        <v>45961</v>
      </c>
      <c r="O86" s="111">
        <v>46053</v>
      </c>
      <c r="P86" s="112"/>
      <c r="Q86" s="113" t="s">
        <v>528</v>
      </c>
      <c r="R86" s="113"/>
      <c r="S86" s="114" t="s">
        <v>529</v>
      </c>
      <c r="T86" s="115" t="s">
        <v>530</v>
      </c>
      <c r="U86" s="116">
        <v>150000000</v>
      </c>
      <c r="V86" s="116">
        <v>125018380</v>
      </c>
      <c r="W86" s="116">
        <v>24981620</v>
      </c>
      <c r="X86" s="106" t="s">
        <v>245</v>
      </c>
      <c r="Y86" s="117" t="s">
        <v>246</v>
      </c>
      <c r="Z86" s="117">
        <v>72</v>
      </c>
      <c r="AA86" s="117">
        <v>23</v>
      </c>
      <c r="AB86" s="117">
        <v>0</v>
      </c>
      <c r="AC86" s="117">
        <v>0</v>
      </c>
      <c r="AD86" s="118">
        <v>0.68055555555555558</v>
      </c>
      <c r="AE86" s="117" t="s">
        <v>35</v>
      </c>
      <c r="AF86" s="117" t="s">
        <v>35</v>
      </c>
      <c r="AG86" s="106"/>
      <c r="AH86" s="106"/>
      <c r="AI86" s="106"/>
      <c r="AJ86" s="106"/>
      <c r="AK86" s="119"/>
      <c r="AL86" s="119"/>
    </row>
    <row r="87" spans="1:38" ht="49.5" x14ac:dyDescent="0.3">
      <c r="A87" s="105">
        <v>155</v>
      </c>
      <c r="B87" s="106" t="s">
        <v>202</v>
      </c>
      <c r="C87" s="107" t="s">
        <v>43</v>
      </c>
      <c r="D87" s="108" t="s">
        <v>126</v>
      </c>
      <c r="E87" s="106" t="s">
        <v>127</v>
      </c>
      <c r="F87" s="109">
        <v>0</v>
      </c>
      <c r="G87" s="109">
        <v>1</v>
      </c>
      <c r="H87" s="109" t="s">
        <v>242</v>
      </c>
      <c r="I87" s="110">
        <v>45748</v>
      </c>
      <c r="J87" s="110">
        <v>46022</v>
      </c>
      <c r="K87" s="110">
        <v>45748</v>
      </c>
      <c r="L87" s="110">
        <v>46752</v>
      </c>
      <c r="M87" s="111">
        <v>45869</v>
      </c>
      <c r="N87" s="111">
        <v>45961</v>
      </c>
      <c r="O87" s="111">
        <v>46053</v>
      </c>
      <c r="P87" s="112"/>
      <c r="Q87" s="113" t="s">
        <v>128</v>
      </c>
      <c r="R87" s="113"/>
      <c r="S87" s="114" t="s">
        <v>531</v>
      </c>
      <c r="T87" s="115" t="s">
        <v>129</v>
      </c>
      <c r="U87" s="116">
        <v>150000000</v>
      </c>
      <c r="V87" s="116">
        <v>38133130</v>
      </c>
      <c r="W87" s="116">
        <v>111866870</v>
      </c>
      <c r="X87" s="106" t="s">
        <v>253</v>
      </c>
      <c r="Y87" s="117" t="s">
        <v>375</v>
      </c>
      <c r="Z87" s="117">
        <v>21</v>
      </c>
      <c r="AA87" s="117">
        <v>21</v>
      </c>
      <c r="AB87" s="117">
        <v>0</v>
      </c>
      <c r="AC87" s="117">
        <v>0</v>
      </c>
      <c r="AD87" s="118">
        <v>0</v>
      </c>
      <c r="AE87" s="117" t="s">
        <v>35</v>
      </c>
      <c r="AF87" s="117" t="s">
        <v>35</v>
      </c>
      <c r="AG87" s="106"/>
      <c r="AH87" s="106"/>
      <c r="AI87" s="106"/>
      <c r="AJ87" s="106"/>
      <c r="AK87" s="119"/>
      <c r="AL87" s="119"/>
    </row>
    <row r="88" spans="1:38" ht="66" x14ac:dyDescent="0.3">
      <c r="A88" s="105">
        <v>167</v>
      </c>
      <c r="B88" s="106" t="s">
        <v>202</v>
      </c>
      <c r="C88" s="107" t="s">
        <v>43</v>
      </c>
      <c r="D88" s="108" t="s">
        <v>131</v>
      </c>
      <c r="E88" s="106" t="s">
        <v>532</v>
      </c>
      <c r="F88" s="109">
        <v>0</v>
      </c>
      <c r="G88" s="109">
        <v>1</v>
      </c>
      <c r="H88" s="109" t="s">
        <v>242</v>
      </c>
      <c r="I88" s="110">
        <v>45748</v>
      </c>
      <c r="J88" s="110">
        <v>46022</v>
      </c>
      <c r="K88" s="110">
        <v>45748</v>
      </c>
      <c r="L88" s="110">
        <v>46752</v>
      </c>
      <c r="M88" s="111">
        <v>45869</v>
      </c>
      <c r="N88" s="111">
        <v>45961</v>
      </c>
      <c r="O88" s="111">
        <v>46053</v>
      </c>
      <c r="P88" s="112"/>
      <c r="Q88" s="113" t="s">
        <v>533</v>
      </c>
      <c r="R88" s="113"/>
      <c r="S88" s="114" t="s">
        <v>534</v>
      </c>
      <c r="T88" s="115" t="s">
        <v>535</v>
      </c>
      <c r="U88" s="116">
        <v>312500000</v>
      </c>
      <c r="V88" s="116">
        <v>256051854</v>
      </c>
      <c r="W88" s="116">
        <v>56448146</v>
      </c>
      <c r="X88" s="106" t="s">
        <v>245</v>
      </c>
      <c r="Y88" s="117" t="s">
        <v>246</v>
      </c>
      <c r="Z88" s="117">
        <v>94</v>
      </c>
      <c r="AA88" s="117">
        <v>1</v>
      </c>
      <c r="AB88" s="117">
        <v>0</v>
      </c>
      <c r="AC88" s="117">
        <v>0</v>
      </c>
      <c r="AD88" s="118">
        <v>0.98936170212765961</v>
      </c>
      <c r="AE88" s="117" t="s">
        <v>35</v>
      </c>
      <c r="AF88" s="117" t="s">
        <v>35</v>
      </c>
      <c r="AG88" s="106"/>
      <c r="AH88" s="106"/>
      <c r="AI88" s="106"/>
      <c r="AJ88" s="106"/>
      <c r="AK88" s="119"/>
      <c r="AL88" s="119"/>
    </row>
    <row r="89" spans="1:38" ht="49.5" x14ac:dyDescent="0.3">
      <c r="A89" s="105">
        <v>168</v>
      </c>
      <c r="B89" s="106" t="s">
        <v>202</v>
      </c>
      <c r="C89" s="107" t="s">
        <v>43</v>
      </c>
      <c r="D89" s="108" t="s">
        <v>131</v>
      </c>
      <c r="E89" s="106" t="s">
        <v>132</v>
      </c>
      <c r="F89" s="109">
        <v>0</v>
      </c>
      <c r="G89" s="109">
        <v>1</v>
      </c>
      <c r="H89" s="109" t="s">
        <v>242</v>
      </c>
      <c r="I89" s="110">
        <v>45748</v>
      </c>
      <c r="J89" s="110">
        <v>46022</v>
      </c>
      <c r="K89" s="110">
        <v>45748</v>
      </c>
      <c r="L89" s="110">
        <v>46752</v>
      </c>
      <c r="M89" s="111">
        <v>45869</v>
      </c>
      <c r="N89" s="111">
        <v>45961</v>
      </c>
      <c r="O89" s="111">
        <v>46053</v>
      </c>
      <c r="P89" s="112"/>
      <c r="Q89" s="113" t="s">
        <v>128</v>
      </c>
      <c r="R89" s="113"/>
      <c r="S89" s="114" t="s">
        <v>531</v>
      </c>
      <c r="T89" s="115" t="s">
        <v>133</v>
      </c>
      <c r="U89" s="116">
        <v>187500000</v>
      </c>
      <c r="V89" s="116">
        <v>187500000</v>
      </c>
      <c r="W89" s="116">
        <v>0</v>
      </c>
      <c r="X89" s="106" t="s">
        <v>253</v>
      </c>
      <c r="Y89" s="117" t="s">
        <v>286</v>
      </c>
      <c r="Z89" s="117">
        <v>94</v>
      </c>
      <c r="AA89" s="117">
        <v>18</v>
      </c>
      <c r="AB89" s="117">
        <v>2</v>
      </c>
      <c r="AC89" s="117">
        <v>69</v>
      </c>
      <c r="AD89" s="118">
        <v>0.80851063829787229</v>
      </c>
      <c r="AE89" s="117" t="s">
        <v>35</v>
      </c>
      <c r="AF89" s="117" t="s">
        <v>35</v>
      </c>
      <c r="AG89" s="106"/>
      <c r="AH89" s="106"/>
      <c r="AI89" s="106"/>
      <c r="AJ89" s="106"/>
      <c r="AK89" s="119"/>
      <c r="AL89" s="119"/>
    </row>
    <row r="90" spans="1:38" ht="66" x14ac:dyDescent="0.3">
      <c r="A90" s="105">
        <v>205</v>
      </c>
      <c r="B90" s="106" t="s">
        <v>202</v>
      </c>
      <c r="C90" s="107" t="s">
        <v>43</v>
      </c>
      <c r="D90" s="108" t="s">
        <v>135</v>
      </c>
      <c r="E90" s="106" t="s">
        <v>136</v>
      </c>
      <c r="F90" s="109">
        <v>1</v>
      </c>
      <c r="G90" s="109">
        <v>1</v>
      </c>
      <c r="H90" s="109" t="s">
        <v>242</v>
      </c>
      <c r="I90" s="110">
        <v>45748</v>
      </c>
      <c r="J90" s="110">
        <v>46022</v>
      </c>
      <c r="K90" s="110">
        <v>45748</v>
      </c>
      <c r="L90" s="110">
        <v>46387</v>
      </c>
      <c r="M90" s="111">
        <v>45869</v>
      </c>
      <c r="N90" s="111">
        <v>45961</v>
      </c>
      <c r="O90" s="111">
        <v>46053</v>
      </c>
      <c r="P90" s="112"/>
      <c r="Q90" s="113" t="s">
        <v>137</v>
      </c>
      <c r="R90" s="113"/>
      <c r="S90" s="114" t="s">
        <v>497</v>
      </c>
      <c r="T90" s="115" t="s">
        <v>138</v>
      </c>
      <c r="U90" s="116">
        <v>750000000</v>
      </c>
      <c r="V90" s="116">
        <v>137140114</v>
      </c>
      <c r="W90" s="116">
        <v>612859886</v>
      </c>
      <c r="X90" s="106" t="s">
        <v>253</v>
      </c>
      <c r="Y90" s="117" t="s">
        <v>286</v>
      </c>
      <c r="Z90" s="117">
        <v>113</v>
      </c>
      <c r="AA90" s="117">
        <v>0</v>
      </c>
      <c r="AB90" s="117">
        <v>0</v>
      </c>
      <c r="AC90" s="117">
        <v>35</v>
      </c>
      <c r="AD90" s="118">
        <v>1</v>
      </c>
      <c r="AE90" s="117" t="s">
        <v>35</v>
      </c>
      <c r="AF90" s="117" t="s">
        <v>35</v>
      </c>
      <c r="AG90" s="106"/>
      <c r="AH90" s="121" t="s">
        <v>536</v>
      </c>
      <c r="AI90" s="106"/>
      <c r="AJ90" s="106"/>
      <c r="AK90" s="119"/>
      <c r="AL90" s="119"/>
    </row>
    <row r="91" spans="1:38" ht="66" x14ac:dyDescent="0.3">
      <c r="A91" s="105">
        <v>216</v>
      </c>
      <c r="B91" s="106" t="s">
        <v>202</v>
      </c>
      <c r="C91" s="107" t="s">
        <v>43</v>
      </c>
      <c r="D91" s="108" t="s">
        <v>141</v>
      </c>
      <c r="E91" s="106" t="s">
        <v>142</v>
      </c>
      <c r="F91" s="109">
        <v>0</v>
      </c>
      <c r="G91" s="109">
        <v>1</v>
      </c>
      <c r="H91" s="109" t="s">
        <v>242</v>
      </c>
      <c r="I91" s="110">
        <v>45748</v>
      </c>
      <c r="J91" s="110">
        <v>46022</v>
      </c>
      <c r="K91" s="110">
        <v>45748</v>
      </c>
      <c r="L91" s="110">
        <v>46752</v>
      </c>
      <c r="M91" s="111">
        <v>45869</v>
      </c>
      <c r="N91" s="111">
        <v>45961</v>
      </c>
      <c r="O91" s="111">
        <v>46053</v>
      </c>
      <c r="P91" s="112"/>
      <c r="Q91" s="113" t="s">
        <v>143</v>
      </c>
      <c r="R91" s="113"/>
      <c r="S91" s="114" t="s">
        <v>537</v>
      </c>
      <c r="T91" s="115" t="s">
        <v>144</v>
      </c>
      <c r="U91" s="116">
        <v>154048317</v>
      </c>
      <c r="V91" s="116">
        <v>127598943</v>
      </c>
      <c r="W91" s="116">
        <v>26449374</v>
      </c>
      <c r="X91" s="106" t="s">
        <v>253</v>
      </c>
      <c r="Y91" s="117" t="s">
        <v>286</v>
      </c>
      <c r="Z91" s="117">
        <v>43</v>
      </c>
      <c r="AA91" s="117">
        <v>25</v>
      </c>
      <c r="AB91" s="117">
        <v>13</v>
      </c>
      <c r="AC91" s="117">
        <v>0</v>
      </c>
      <c r="AD91" s="118">
        <v>0.41860465116279072</v>
      </c>
      <c r="AE91" s="117" t="s">
        <v>35</v>
      </c>
      <c r="AF91" s="117" t="s">
        <v>35</v>
      </c>
      <c r="AG91" s="106"/>
      <c r="AH91" s="106"/>
      <c r="AI91" s="106"/>
      <c r="AJ91" s="106"/>
      <c r="AK91" s="119"/>
      <c r="AL91" s="119"/>
    </row>
    <row r="92" spans="1:38" ht="66" x14ac:dyDescent="0.3">
      <c r="A92" s="105">
        <v>217</v>
      </c>
      <c r="B92" s="106" t="s">
        <v>202</v>
      </c>
      <c r="C92" s="107" t="s">
        <v>43</v>
      </c>
      <c r="D92" s="108" t="s">
        <v>145</v>
      </c>
      <c r="E92" s="106" t="s">
        <v>146</v>
      </c>
      <c r="F92" s="109">
        <v>0</v>
      </c>
      <c r="G92" s="109">
        <v>1</v>
      </c>
      <c r="H92" s="109" t="s">
        <v>242</v>
      </c>
      <c r="I92" s="110">
        <v>45748</v>
      </c>
      <c r="J92" s="110">
        <v>46022</v>
      </c>
      <c r="K92" s="110">
        <v>45748</v>
      </c>
      <c r="L92" s="110">
        <v>46387</v>
      </c>
      <c r="M92" s="111">
        <v>45869</v>
      </c>
      <c r="N92" s="111">
        <v>45961</v>
      </c>
      <c r="O92" s="111">
        <v>46053</v>
      </c>
      <c r="P92" s="112"/>
      <c r="Q92" s="113" t="s">
        <v>147</v>
      </c>
      <c r="R92" s="113"/>
      <c r="S92" s="114" t="s">
        <v>538</v>
      </c>
      <c r="T92" s="115" t="s">
        <v>148</v>
      </c>
      <c r="U92" s="116">
        <v>144000000</v>
      </c>
      <c r="V92" s="116">
        <v>96423894</v>
      </c>
      <c r="W92" s="116">
        <v>47576106</v>
      </c>
      <c r="X92" s="106" t="s">
        <v>253</v>
      </c>
      <c r="Y92" s="117" t="s">
        <v>286</v>
      </c>
      <c r="Z92" s="117">
        <v>136</v>
      </c>
      <c r="AA92" s="117">
        <v>5</v>
      </c>
      <c r="AB92" s="117">
        <v>0</v>
      </c>
      <c r="AC92" s="117">
        <v>31</v>
      </c>
      <c r="AD92" s="118">
        <v>0.96323529411764708</v>
      </c>
      <c r="AE92" s="117" t="s">
        <v>35</v>
      </c>
      <c r="AF92" s="117" t="s">
        <v>35</v>
      </c>
      <c r="AG92" s="106"/>
      <c r="AH92" s="106"/>
      <c r="AI92" s="106"/>
      <c r="AJ92" s="106"/>
      <c r="AK92" s="119"/>
      <c r="AL92" s="119"/>
    </row>
    <row r="93" spans="1:38" ht="49.5" x14ac:dyDescent="0.3">
      <c r="A93" s="105">
        <v>218</v>
      </c>
      <c r="B93" s="106" t="s">
        <v>202</v>
      </c>
      <c r="C93" s="107" t="s">
        <v>43</v>
      </c>
      <c r="D93" s="108" t="s">
        <v>145</v>
      </c>
      <c r="E93" s="106" t="s">
        <v>539</v>
      </c>
      <c r="F93" s="109">
        <v>0</v>
      </c>
      <c r="G93" s="109">
        <v>1</v>
      </c>
      <c r="H93" s="109" t="s">
        <v>242</v>
      </c>
      <c r="I93" s="110">
        <v>45748</v>
      </c>
      <c r="J93" s="110">
        <v>46022</v>
      </c>
      <c r="K93" s="110">
        <v>45748</v>
      </c>
      <c r="L93" s="110">
        <v>46387</v>
      </c>
      <c r="M93" s="111">
        <v>45869</v>
      </c>
      <c r="N93" s="111">
        <v>45961</v>
      </c>
      <c r="O93" s="111">
        <v>46053</v>
      </c>
      <c r="P93" s="112"/>
      <c r="Q93" s="113" t="s">
        <v>540</v>
      </c>
      <c r="R93" s="113"/>
      <c r="S93" s="114" t="s">
        <v>541</v>
      </c>
      <c r="T93" s="115" t="s">
        <v>542</v>
      </c>
      <c r="U93" s="116">
        <v>100026909</v>
      </c>
      <c r="V93" s="116">
        <v>63556380</v>
      </c>
      <c r="W93" s="116">
        <v>36470529</v>
      </c>
      <c r="X93" s="106" t="s">
        <v>280</v>
      </c>
      <c r="Y93" s="117" t="s">
        <v>246</v>
      </c>
      <c r="Z93" s="117">
        <v>76</v>
      </c>
      <c r="AA93" s="117">
        <v>0</v>
      </c>
      <c r="AB93" s="117">
        <v>0</v>
      </c>
      <c r="AC93" s="117">
        <v>0</v>
      </c>
      <c r="AD93" s="118">
        <v>1</v>
      </c>
      <c r="AE93" s="117" t="s">
        <v>35</v>
      </c>
      <c r="AF93" s="117" t="s">
        <v>35</v>
      </c>
      <c r="AG93" s="106"/>
      <c r="AH93" s="106"/>
      <c r="AI93" s="106"/>
      <c r="AJ93" s="106"/>
      <c r="AK93" s="119"/>
      <c r="AL93" s="119"/>
    </row>
    <row r="94" spans="1:38" ht="82.5" x14ac:dyDescent="0.3">
      <c r="A94" s="105">
        <v>341</v>
      </c>
      <c r="B94" s="106" t="s">
        <v>202</v>
      </c>
      <c r="C94" s="107" t="s">
        <v>43</v>
      </c>
      <c r="D94" s="108" t="s">
        <v>149</v>
      </c>
      <c r="E94" s="106" t="s">
        <v>150</v>
      </c>
      <c r="F94" s="109">
        <v>0</v>
      </c>
      <c r="G94" s="109">
        <v>1</v>
      </c>
      <c r="H94" s="109" t="s">
        <v>242</v>
      </c>
      <c r="I94" s="110">
        <v>45748</v>
      </c>
      <c r="J94" s="110">
        <v>46022</v>
      </c>
      <c r="K94" s="110">
        <v>45748</v>
      </c>
      <c r="L94" s="110">
        <v>46752</v>
      </c>
      <c r="M94" s="111">
        <v>45869</v>
      </c>
      <c r="N94" s="111">
        <v>45961</v>
      </c>
      <c r="O94" s="111">
        <v>46053</v>
      </c>
      <c r="P94" s="112"/>
      <c r="Q94" s="113" t="s">
        <v>151</v>
      </c>
      <c r="R94" s="113"/>
      <c r="S94" s="114" t="s">
        <v>543</v>
      </c>
      <c r="T94" s="115" t="s">
        <v>152</v>
      </c>
      <c r="U94" s="116">
        <v>609200000</v>
      </c>
      <c r="V94" s="116">
        <v>467103444</v>
      </c>
      <c r="W94" s="116">
        <v>142096556</v>
      </c>
      <c r="X94" s="106" t="s">
        <v>253</v>
      </c>
      <c r="Y94" s="117" t="s">
        <v>286</v>
      </c>
      <c r="Z94" s="117">
        <v>205</v>
      </c>
      <c r="AA94" s="117">
        <v>0</v>
      </c>
      <c r="AB94" s="117">
        <v>0</v>
      </c>
      <c r="AC94" s="117">
        <v>30</v>
      </c>
      <c r="AD94" s="118">
        <v>1</v>
      </c>
      <c r="AE94" s="117" t="s">
        <v>35</v>
      </c>
      <c r="AF94" s="117" t="s">
        <v>35</v>
      </c>
      <c r="AG94" s="106"/>
      <c r="AH94" s="106"/>
      <c r="AI94" s="106"/>
      <c r="AJ94" s="106"/>
      <c r="AK94" s="119"/>
      <c r="AL94" s="119"/>
    </row>
    <row r="95" spans="1:38" ht="66" x14ac:dyDescent="0.3">
      <c r="A95" s="105">
        <v>425</v>
      </c>
      <c r="B95" s="106" t="s">
        <v>202</v>
      </c>
      <c r="C95" s="107" t="s">
        <v>43</v>
      </c>
      <c r="D95" s="108" t="s">
        <v>153</v>
      </c>
      <c r="E95" s="106" t="s">
        <v>154</v>
      </c>
      <c r="F95" s="109">
        <v>0</v>
      </c>
      <c r="G95" s="109">
        <v>2</v>
      </c>
      <c r="H95" s="109" t="s">
        <v>242</v>
      </c>
      <c r="I95" s="110">
        <v>45658</v>
      </c>
      <c r="J95" s="110">
        <v>46022</v>
      </c>
      <c r="K95" s="110">
        <v>45474</v>
      </c>
      <c r="L95" s="110">
        <v>46112</v>
      </c>
      <c r="M95" s="111">
        <v>45777</v>
      </c>
      <c r="N95" s="111">
        <v>45869</v>
      </c>
      <c r="O95" s="111">
        <v>45961</v>
      </c>
      <c r="P95" s="112"/>
      <c r="Q95" s="113" t="s">
        <v>155</v>
      </c>
      <c r="R95" s="113"/>
      <c r="S95" s="114" t="s">
        <v>544</v>
      </c>
      <c r="T95" s="115" t="s">
        <v>156</v>
      </c>
      <c r="U95" s="116">
        <v>455644289</v>
      </c>
      <c r="V95" s="116">
        <v>426496161</v>
      </c>
      <c r="W95" s="116">
        <v>29148128</v>
      </c>
      <c r="X95" s="106" t="s">
        <v>253</v>
      </c>
      <c r="Y95" s="117" t="s">
        <v>286</v>
      </c>
      <c r="Z95" s="117">
        <v>125</v>
      </c>
      <c r="AA95" s="117">
        <v>7</v>
      </c>
      <c r="AB95" s="117">
        <v>93</v>
      </c>
      <c r="AC95" s="117">
        <v>0</v>
      </c>
      <c r="AD95" s="118">
        <v>0.94399999999999995</v>
      </c>
      <c r="AE95" s="117" t="s">
        <v>35</v>
      </c>
      <c r="AF95" s="117" t="s">
        <v>35</v>
      </c>
      <c r="AG95" s="106"/>
      <c r="AH95" s="106"/>
      <c r="AI95" s="106"/>
      <c r="AJ95" s="106"/>
      <c r="AK95" s="119"/>
      <c r="AL95" s="119"/>
    </row>
    <row r="96" spans="1:38" ht="82.5" x14ac:dyDescent="0.3">
      <c r="A96" s="105">
        <v>443</v>
      </c>
      <c r="B96" s="106" t="s">
        <v>202</v>
      </c>
      <c r="C96" s="107" t="s">
        <v>43</v>
      </c>
      <c r="D96" s="108" t="s">
        <v>158</v>
      </c>
      <c r="E96" s="106" t="s">
        <v>159</v>
      </c>
      <c r="F96" s="109">
        <v>0</v>
      </c>
      <c r="G96" s="109">
        <v>2</v>
      </c>
      <c r="H96" s="109" t="s">
        <v>242</v>
      </c>
      <c r="I96" s="110">
        <v>45658</v>
      </c>
      <c r="J96" s="110">
        <v>46022</v>
      </c>
      <c r="K96" s="110">
        <v>45505</v>
      </c>
      <c r="L96" s="110">
        <v>46387</v>
      </c>
      <c r="M96" s="111">
        <v>45777</v>
      </c>
      <c r="N96" s="111">
        <v>45869</v>
      </c>
      <c r="O96" s="111">
        <v>45961</v>
      </c>
      <c r="P96" s="112"/>
      <c r="Q96" s="113" t="s">
        <v>160</v>
      </c>
      <c r="R96" s="113"/>
      <c r="S96" s="114" t="s">
        <v>545</v>
      </c>
      <c r="T96" s="115" t="s">
        <v>161</v>
      </c>
      <c r="U96" s="116">
        <v>82139409</v>
      </c>
      <c r="V96" s="116">
        <v>72154050</v>
      </c>
      <c r="W96" s="116">
        <v>9985359</v>
      </c>
      <c r="X96" s="106" t="s">
        <v>253</v>
      </c>
      <c r="Y96" s="117" t="s">
        <v>286</v>
      </c>
      <c r="Z96" s="117">
        <v>21</v>
      </c>
      <c r="AA96" s="117">
        <v>2</v>
      </c>
      <c r="AB96" s="117">
        <v>0</v>
      </c>
      <c r="AC96" s="117">
        <v>6</v>
      </c>
      <c r="AD96" s="118">
        <v>0.90476190476190477</v>
      </c>
      <c r="AE96" s="117" t="s">
        <v>35</v>
      </c>
      <c r="AF96" s="117" t="s">
        <v>35</v>
      </c>
      <c r="AG96" s="106"/>
      <c r="AH96" s="106"/>
      <c r="AI96" s="106"/>
      <c r="AJ96" s="106"/>
      <c r="AK96" s="119"/>
      <c r="AL96" s="119"/>
    </row>
    <row r="97" spans="1:38" ht="49.5" x14ac:dyDescent="0.3">
      <c r="A97" s="105">
        <v>511</v>
      </c>
      <c r="B97" s="106" t="s">
        <v>202</v>
      </c>
      <c r="C97" s="107" t="s">
        <v>43</v>
      </c>
      <c r="D97" s="108" t="s">
        <v>163</v>
      </c>
      <c r="E97" s="106" t="s">
        <v>164</v>
      </c>
      <c r="F97" s="109">
        <v>0</v>
      </c>
      <c r="G97" s="109">
        <v>2</v>
      </c>
      <c r="H97" s="109" t="s">
        <v>242</v>
      </c>
      <c r="I97" s="110">
        <v>45658</v>
      </c>
      <c r="J97" s="110">
        <v>46022</v>
      </c>
      <c r="K97" s="110">
        <v>45383</v>
      </c>
      <c r="L97" s="110">
        <v>46387</v>
      </c>
      <c r="M97" s="111">
        <v>45777</v>
      </c>
      <c r="N97" s="111">
        <v>45869</v>
      </c>
      <c r="O97" s="111">
        <v>45961</v>
      </c>
      <c r="P97" s="112"/>
      <c r="Q97" s="113" t="s">
        <v>165</v>
      </c>
      <c r="R97" s="113"/>
      <c r="S97" s="114" t="s">
        <v>546</v>
      </c>
      <c r="T97" s="115" t="s">
        <v>166</v>
      </c>
      <c r="U97" s="116">
        <v>1126241342</v>
      </c>
      <c r="V97" s="116">
        <v>931250359</v>
      </c>
      <c r="W97" s="116">
        <v>194990983</v>
      </c>
      <c r="X97" s="106" t="s">
        <v>253</v>
      </c>
      <c r="Y97" s="117" t="s">
        <v>258</v>
      </c>
      <c r="Z97" s="117">
        <v>280</v>
      </c>
      <c r="AA97" s="117">
        <v>0</v>
      </c>
      <c r="AB97" s="117">
        <v>10</v>
      </c>
      <c r="AC97" s="117">
        <v>0</v>
      </c>
      <c r="AD97" s="118">
        <v>1</v>
      </c>
      <c r="AE97" s="117" t="s">
        <v>35</v>
      </c>
      <c r="AF97" s="117" t="s">
        <v>35</v>
      </c>
      <c r="AG97" s="106"/>
      <c r="AH97" s="106"/>
      <c r="AI97" s="106"/>
      <c r="AJ97" s="106"/>
      <c r="AK97" s="119"/>
      <c r="AL97" s="119"/>
    </row>
    <row r="98" spans="1:38" ht="66" x14ac:dyDescent="0.3">
      <c r="A98" s="105">
        <v>512</v>
      </c>
      <c r="B98" s="106" t="s">
        <v>202</v>
      </c>
      <c r="C98" s="107" t="s">
        <v>43</v>
      </c>
      <c r="D98" s="108" t="s">
        <v>163</v>
      </c>
      <c r="E98" s="106" t="s">
        <v>547</v>
      </c>
      <c r="F98" s="109">
        <v>0</v>
      </c>
      <c r="G98" s="109">
        <v>2</v>
      </c>
      <c r="H98" s="109" t="s">
        <v>242</v>
      </c>
      <c r="I98" s="110">
        <v>45658</v>
      </c>
      <c r="J98" s="110">
        <v>46022</v>
      </c>
      <c r="K98" s="110">
        <v>45383</v>
      </c>
      <c r="L98" s="110">
        <v>46387</v>
      </c>
      <c r="M98" s="111">
        <v>45777</v>
      </c>
      <c r="N98" s="111">
        <v>45869</v>
      </c>
      <c r="O98" s="111">
        <v>45961</v>
      </c>
      <c r="P98" s="112"/>
      <c r="Q98" s="113" t="s">
        <v>548</v>
      </c>
      <c r="R98" s="113"/>
      <c r="S98" s="114" t="s">
        <v>549</v>
      </c>
      <c r="T98" s="115" t="s">
        <v>550</v>
      </c>
      <c r="U98" s="116">
        <v>220071638</v>
      </c>
      <c r="V98" s="116">
        <v>102943400</v>
      </c>
      <c r="W98" s="116">
        <v>117128238</v>
      </c>
      <c r="X98" s="106" t="s">
        <v>303</v>
      </c>
      <c r="Y98" s="117" t="s">
        <v>286</v>
      </c>
      <c r="Z98" s="117">
        <v>35</v>
      </c>
      <c r="AA98" s="117">
        <v>0</v>
      </c>
      <c r="AB98" s="117">
        <v>0</v>
      </c>
      <c r="AC98" s="117">
        <v>7</v>
      </c>
      <c r="AD98" s="118">
        <v>1</v>
      </c>
      <c r="AE98" s="117" t="s">
        <v>35</v>
      </c>
      <c r="AF98" s="117" t="s">
        <v>35</v>
      </c>
      <c r="AG98" s="106"/>
      <c r="AH98" s="106"/>
      <c r="AI98" s="106"/>
      <c r="AJ98" s="106"/>
      <c r="AK98" s="119"/>
      <c r="AL98" s="119"/>
    </row>
    <row r="99" spans="1:38" ht="66" x14ac:dyDescent="0.3">
      <c r="A99" s="105">
        <v>549</v>
      </c>
      <c r="B99" s="106" t="s">
        <v>202</v>
      </c>
      <c r="C99" s="107" t="s">
        <v>43</v>
      </c>
      <c r="D99" s="108" t="s">
        <v>168</v>
      </c>
      <c r="E99" s="106" t="s">
        <v>551</v>
      </c>
      <c r="F99" s="109">
        <v>0</v>
      </c>
      <c r="G99" s="109">
        <v>2</v>
      </c>
      <c r="H99" s="109" t="s">
        <v>242</v>
      </c>
      <c r="I99" s="110">
        <v>45658</v>
      </c>
      <c r="J99" s="110">
        <v>46022</v>
      </c>
      <c r="K99" s="110">
        <v>45383</v>
      </c>
      <c r="L99" s="110">
        <v>46387</v>
      </c>
      <c r="M99" s="111">
        <v>45777</v>
      </c>
      <c r="N99" s="111">
        <v>45869</v>
      </c>
      <c r="O99" s="111">
        <v>45961</v>
      </c>
      <c r="P99" s="112"/>
      <c r="Q99" s="113" t="s">
        <v>46</v>
      </c>
      <c r="R99" s="113"/>
      <c r="S99" s="114" t="s">
        <v>252</v>
      </c>
      <c r="T99" s="115" t="s">
        <v>552</v>
      </c>
      <c r="U99" s="116">
        <v>222255451</v>
      </c>
      <c r="V99" s="116">
        <v>161909110</v>
      </c>
      <c r="W99" s="116">
        <v>60346341</v>
      </c>
      <c r="X99" s="106" t="s">
        <v>245</v>
      </c>
      <c r="Y99" s="117" t="s">
        <v>258</v>
      </c>
      <c r="Z99" s="117">
        <v>100</v>
      </c>
      <c r="AA99" s="117">
        <v>0</v>
      </c>
      <c r="AB99" s="117">
        <v>75</v>
      </c>
      <c r="AC99" s="117">
        <v>0</v>
      </c>
      <c r="AD99" s="118">
        <v>1</v>
      </c>
      <c r="AE99" s="117" t="s">
        <v>35</v>
      </c>
      <c r="AF99" s="117" t="s">
        <v>35</v>
      </c>
      <c r="AG99" s="106"/>
      <c r="AH99" s="106"/>
      <c r="AI99" s="106"/>
      <c r="AJ99" s="106"/>
      <c r="AK99" s="119"/>
      <c r="AL99" s="119"/>
    </row>
    <row r="100" spans="1:38" ht="66" x14ac:dyDescent="0.3">
      <c r="A100" s="105">
        <v>550</v>
      </c>
      <c r="B100" s="106" t="s">
        <v>202</v>
      </c>
      <c r="C100" s="107" t="s">
        <v>43</v>
      </c>
      <c r="D100" s="108" t="s">
        <v>168</v>
      </c>
      <c r="E100" s="106" t="s">
        <v>553</v>
      </c>
      <c r="F100" s="109">
        <v>0</v>
      </c>
      <c r="G100" s="109">
        <v>2</v>
      </c>
      <c r="H100" s="109" t="s">
        <v>242</v>
      </c>
      <c r="I100" s="110">
        <v>45658</v>
      </c>
      <c r="J100" s="110">
        <v>46022</v>
      </c>
      <c r="K100" s="110">
        <v>45658</v>
      </c>
      <c r="L100" s="110">
        <v>46387</v>
      </c>
      <c r="M100" s="111">
        <v>45777</v>
      </c>
      <c r="N100" s="111">
        <v>45869</v>
      </c>
      <c r="O100" s="111">
        <v>45961</v>
      </c>
      <c r="P100" s="112"/>
      <c r="Q100" s="113" t="s">
        <v>554</v>
      </c>
      <c r="R100" s="113"/>
      <c r="S100" s="114" t="s">
        <v>555</v>
      </c>
      <c r="T100" s="115" t="s">
        <v>556</v>
      </c>
      <c r="U100" s="116">
        <v>124939800</v>
      </c>
      <c r="V100" s="116">
        <v>124474850</v>
      </c>
      <c r="W100" s="116">
        <v>464950</v>
      </c>
      <c r="X100" s="106" t="s">
        <v>303</v>
      </c>
      <c r="Y100" s="117" t="s">
        <v>246</v>
      </c>
      <c r="Z100" s="117">
        <v>38</v>
      </c>
      <c r="AA100" s="117">
        <v>12</v>
      </c>
      <c r="AB100" s="117">
        <v>0</v>
      </c>
      <c r="AC100" s="117">
        <v>0</v>
      </c>
      <c r="AD100" s="118">
        <v>0.68421052631578949</v>
      </c>
      <c r="AE100" s="117" t="s">
        <v>35</v>
      </c>
      <c r="AF100" s="117" t="s">
        <v>35</v>
      </c>
      <c r="AG100" s="106"/>
      <c r="AH100" s="106"/>
      <c r="AI100" s="106"/>
      <c r="AJ100" s="106"/>
      <c r="AK100" s="119"/>
      <c r="AL100" s="119"/>
    </row>
    <row r="101" spans="1:38" ht="49.5" x14ac:dyDescent="0.3">
      <c r="A101" s="105">
        <v>551</v>
      </c>
      <c r="B101" s="106" t="s">
        <v>202</v>
      </c>
      <c r="C101" s="107" t="s">
        <v>43</v>
      </c>
      <c r="D101" s="108" t="s">
        <v>168</v>
      </c>
      <c r="E101" s="106" t="s">
        <v>169</v>
      </c>
      <c r="F101" s="109">
        <v>0</v>
      </c>
      <c r="G101" s="109">
        <v>2</v>
      </c>
      <c r="H101" s="109" t="s">
        <v>242</v>
      </c>
      <c r="I101" s="110">
        <v>45658</v>
      </c>
      <c r="J101" s="110">
        <v>46022</v>
      </c>
      <c r="K101" s="110">
        <v>45383</v>
      </c>
      <c r="L101" s="110">
        <v>46387</v>
      </c>
      <c r="M101" s="111">
        <v>45777</v>
      </c>
      <c r="N101" s="111">
        <v>45869</v>
      </c>
      <c r="O101" s="111">
        <v>45961</v>
      </c>
      <c r="P101" s="112"/>
      <c r="Q101" s="113" t="s">
        <v>170</v>
      </c>
      <c r="R101" s="113"/>
      <c r="S101" s="114" t="s">
        <v>557</v>
      </c>
      <c r="T101" s="115" t="s">
        <v>171</v>
      </c>
      <c r="U101" s="116">
        <v>655868479</v>
      </c>
      <c r="V101" s="116">
        <v>394734919</v>
      </c>
      <c r="W101" s="116">
        <v>261133560</v>
      </c>
      <c r="X101" s="106" t="s">
        <v>253</v>
      </c>
      <c r="Y101" s="117" t="s">
        <v>251</v>
      </c>
      <c r="Z101" s="117">
        <v>49</v>
      </c>
      <c r="AA101" s="117">
        <v>18</v>
      </c>
      <c r="AB101" s="117">
        <v>0</v>
      </c>
      <c r="AC101" s="117">
        <v>31</v>
      </c>
      <c r="AD101" s="118">
        <v>0.63265306122448983</v>
      </c>
      <c r="AE101" s="117" t="s">
        <v>35</v>
      </c>
      <c r="AF101" s="117" t="s">
        <v>35</v>
      </c>
      <c r="AG101" s="106"/>
      <c r="AH101" s="106"/>
      <c r="AI101" s="106"/>
      <c r="AJ101" s="106"/>
      <c r="AK101" s="119"/>
      <c r="AL101" s="119"/>
    </row>
    <row r="102" spans="1:38" ht="66" x14ac:dyDescent="0.3">
      <c r="A102" s="105">
        <v>657</v>
      </c>
      <c r="B102" s="106" t="s">
        <v>202</v>
      </c>
      <c r="C102" s="107" t="s">
        <v>43</v>
      </c>
      <c r="D102" s="108" t="s">
        <v>172</v>
      </c>
      <c r="E102" s="106" t="s">
        <v>558</v>
      </c>
      <c r="F102" s="109">
        <v>1</v>
      </c>
      <c r="G102" s="109">
        <v>3</v>
      </c>
      <c r="H102" s="109" t="s">
        <v>242</v>
      </c>
      <c r="I102" s="110">
        <v>45658</v>
      </c>
      <c r="J102" s="110">
        <v>46022</v>
      </c>
      <c r="K102" s="110">
        <v>45108</v>
      </c>
      <c r="L102" s="110">
        <v>46022</v>
      </c>
      <c r="M102" s="111">
        <v>45777</v>
      </c>
      <c r="N102" s="111">
        <v>45869</v>
      </c>
      <c r="O102" s="111">
        <v>45961</v>
      </c>
      <c r="P102" s="112"/>
      <c r="Q102" s="113" t="s">
        <v>559</v>
      </c>
      <c r="R102" s="113"/>
      <c r="S102" s="114" t="s">
        <v>560</v>
      </c>
      <c r="T102" s="120" t="s">
        <v>561</v>
      </c>
      <c r="U102" s="116">
        <v>88099542</v>
      </c>
      <c r="V102" s="116">
        <v>88099463</v>
      </c>
      <c r="W102" s="116">
        <v>79</v>
      </c>
      <c r="X102" s="106" t="s">
        <v>245</v>
      </c>
      <c r="Y102" s="117" t="s">
        <v>286</v>
      </c>
      <c r="Z102" s="117">
        <v>100</v>
      </c>
      <c r="AA102" s="117">
        <v>13</v>
      </c>
      <c r="AB102" s="117">
        <v>13</v>
      </c>
      <c r="AC102" s="117">
        <v>0</v>
      </c>
      <c r="AD102" s="118">
        <v>0.87</v>
      </c>
      <c r="AE102" s="117" t="s">
        <v>35</v>
      </c>
      <c r="AF102" s="117" t="s">
        <v>35</v>
      </c>
      <c r="AG102" s="106"/>
      <c r="AH102" s="121" t="s">
        <v>562</v>
      </c>
      <c r="AI102" s="106"/>
      <c r="AJ102" s="106"/>
      <c r="AK102" s="119"/>
      <c r="AL102" s="119"/>
    </row>
    <row r="103" spans="1:38" ht="66" x14ac:dyDescent="0.3">
      <c r="A103" s="105">
        <v>658</v>
      </c>
      <c r="B103" s="106" t="s">
        <v>202</v>
      </c>
      <c r="C103" s="107" t="s">
        <v>43</v>
      </c>
      <c r="D103" s="108" t="s">
        <v>172</v>
      </c>
      <c r="E103" s="106" t="s">
        <v>563</v>
      </c>
      <c r="F103" s="109">
        <v>1</v>
      </c>
      <c r="G103" s="109">
        <v>3</v>
      </c>
      <c r="H103" s="109" t="s">
        <v>242</v>
      </c>
      <c r="I103" s="110">
        <v>45658</v>
      </c>
      <c r="J103" s="110">
        <v>46022</v>
      </c>
      <c r="K103" s="110">
        <v>45108</v>
      </c>
      <c r="L103" s="110">
        <v>46022</v>
      </c>
      <c r="M103" s="111">
        <v>45777</v>
      </c>
      <c r="N103" s="111">
        <v>45869</v>
      </c>
      <c r="O103" s="111">
        <v>45961</v>
      </c>
      <c r="P103" s="112"/>
      <c r="Q103" s="113" t="s">
        <v>564</v>
      </c>
      <c r="R103" s="113"/>
      <c r="S103" s="114" t="s">
        <v>565</v>
      </c>
      <c r="T103" s="115" t="s">
        <v>566</v>
      </c>
      <c r="U103" s="116">
        <v>100440102</v>
      </c>
      <c r="V103" s="116">
        <v>100434650</v>
      </c>
      <c r="W103" s="116">
        <v>5452</v>
      </c>
      <c r="X103" s="106" t="s">
        <v>245</v>
      </c>
      <c r="Y103" s="117" t="s">
        <v>286</v>
      </c>
      <c r="Z103" s="117">
        <v>82</v>
      </c>
      <c r="AA103" s="117">
        <v>6</v>
      </c>
      <c r="AB103" s="117">
        <v>25</v>
      </c>
      <c r="AC103" s="117">
        <v>0</v>
      </c>
      <c r="AD103" s="118">
        <v>0.92682926829268297</v>
      </c>
      <c r="AE103" s="117" t="s">
        <v>35</v>
      </c>
      <c r="AF103" s="117" t="s">
        <v>35</v>
      </c>
      <c r="AG103" s="106"/>
      <c r="AH103" s="106"/>
      <c r="AI103" s="106"/>
      <c r="AJ103" s="106"/>
      <c r="AK103" s="119"/>
      <c r="AL103" s="119"/>
    </row>
    <row r="104" spans="1:38" ht="66" x14ac:dyDescent="0.3">
      <c r="A104" s="105">
        <v>659</v>
      </c>
      <c r="B104" s="106" t="s">
        <v>202</v>
      </c>
      <c r="C104" s="107" t="s">
        <v>43</v>
      </c>
      <c r="D104" s="108" t="s">
        <v>172</v>
      </c>
      <c r="E104" s="106" t="s">
        <v>567</v>
      </c>
      <c r="F104" s="109">
        <v>1</v>
      </c>
      <c r="G104" s="109">
        <v>3</v>
      </c>
      <c r="H104" s="109" t="s">
        <v>242</v>
      </c>
      <c r="I104" s="110">
        <v>45658</v>
      </c>
      <c r="J104" s="110">
        <v>46022</v>
      </c>
      <c r="K104" s="110">
        <v>45108</v>
      </c>
      <c r="L104" s="110">
        <v>46022</v>
      </c>
      <c r="M104" s="111">
        <v>45777</v>
      </c>
      <c r="N104" s="111">
        <v>45869</v>
      </c>
      <c r="O104" s="111">
        <v>45961</v>
      </c>
      <c r="P104" s="112"/>
      <c r="Q104" s="113" t="s">
        <v>568</v>
      </c>
      <c r="R104" s="113"/>
      <c r="S104" s="114" t="s">
        <v>569</v>
      </c>
      <c r="T104" s="115" t="s">
        <v>570</v>
      </c>
      <c r="U104" s="116">
        <v>43990400</v>
      </c>
      <c r="V104" s="116">
        <v>43990400</v>
      </c>
      <c r="W104" s="116">
        <v>0</v>
      </c>
      <c r="X104" s="106" t="s">
        <v>245</v>
      </c>
      <c r="Y104" s="117" t="s">
        <v>286</v>
      </c>
      <c r="Z104" s="117">
        <v>57</v>
      </c>
      <c r="AA104" s="117">
        <v>0</v>
      </c>
      <c r="AB104" s="117">
        <v>32</v>
      </c>
      <c r="AC104" s="117">
        <v>0</v>
      </c>
      <c r="AD104" s="118">
        <v>1</v>
      </c>
      <c r="AE104" s="117" t="s">
        <v>35</v>
      </c>
      <c r="AF104" s="117" t="s">
        <v>35</v>
      </c>
      <c r="AG104" s="106"/>
      <c r="AH104" s="106"/>
      <c r="AI104" s="106"/>
      <c r="AJ104" s="106"/>
      <c r="AK104" s="119"/>
      <c r="AL104" s="119"/>
    </row>
    <row r="105" spans="1:38" ht="49.5" x14ac:dyDescent="0.3">
      <c r="A105" s="105">
        <v>660</v>
      </c>
      <c r="B105" s="106" t="s">
        <v>202</v>
      </c>
      <c r="C105" s="107" t="s">
        <v>43</v>
      </c>
      <c r="D105" s="108" t="s">
        <v>172</v>
      </c>
      <c r="E105" s="106" t="s">
        <v>571</v>
      </c>
      <c r="F105" s="109">
        <v>1</v>
      </c>
      <c r="G105" s="109">
        <v>3</v>
      </c>
      <c r="H105" s="109" t="s">
        <v>242</v>
      </c>
      <c r="I105" s="110">
        <v>45658</v>
      </c>
      <c r="J105" s="110">
        <v>46022</v>
      </c>
      <c r="K105" s="110">
        <v>45108</v>
      </c>
      <c r="L105" s="110">
        <v>46022</v>
      </c>
      <c r="M105" s="111">
        <v>45777</v>
      </c>
      <c r="N105" s="111">
        <v>45869</v>
      </c>
      <c r="O105" s="111">
        <v>45961</v>
      </c>
      <c r="P105" s="112"/>
      <c r="Q105" s="113" t="s">
        <v>572</v>
      </c>
      <c r="R105" s="113"/>
      <c r="S105" s="114" t="s">
        <v>573</v>
      </c>
      <c r="T105" s="115" t="s">
        <v>574</v>
      </c>
      <c r="U105" s="116">
        <v>121298598</v>
      </c>
      <c r="V105" s="116">
        <v>113796802</v>
      </c>
      <c r="W105" s="116">
        <v>7501796</v>
      </c>
      <c r="X105" s="106" t="s">
        <v>245</v>
      </c>
      <c r="Y105" s="117" t="s">
        <v>286</v>
      </c>
      <c r="Z105" s="117">
        <v>117</v>
      </c>
      <c r="AA105" s="117">
        <v>18</v>
      </c>
      <c r="AB105" s="117">
        <v>6</v>
      </c>
      <c r="AC105" s="117">
        <v>0</v>
      </c>
      <c r="AD105" s="118">
        <v>0.84615384615384615</v>
      </c>
      <c r="AE105" s="117" t="s">
        <v>35</v>
      </c>
      <c r="AF105" s="117" t="s">
        <v>35</v>
      </c>
      <c r="AG105" s="106"/>
      <c r="AH105" s="106"/>
      <c r="AI105" s="106"/>
      <c r="AJ105" s="106"/>
      <c r="AK105" s="119"/>
      <c r="AL105" s="119"/>
    </row>
    <row r="106" spans="1:38" ht="66" x14ac:dyDescent="0.3">
      <c r="A106" s="105">
        <v>661</v>
      </c>
      <c r="B106" s="106" t="s">
        <v>202</v>
      </c>
      <c r="C106" s="107" t="s">
        <v>43</v>
      </c>
      <c r="D106" s="108" t="s">
        <v>172</v>
      </c>
      <c r="E106" s="106" t="s">
        <v>575</v>
      </c>
      <c r="F106" s="109">
        <v>1</v>
      </c>
      <c r="G106" s="109">
        <v>3</v>
      </c>
      <c r="H106" s="109" t="s">
        <v>242</v>
      </c>
      <c r="I106" s="110">
        <v>45658</v>
      </c>
      <c r="J106" s="110">
        <v>46022</v>
      </c>
      <c r="K106" s="110">
        <v>45108</v>
      </c>
      <c r="L106" s="110">
        <v>46022</v>
      </c>
      <c r="M106" s="111">
        <v>45777</v>
      </c>
      <c r="N106" s="111">
        <v>45869</v>
      </c>
      <c r="O106" s="111">
        <v>45961</v>
      </c>
      <c r="P106" s="112"/>
      <c r="Q106" s="113" t="s">
        <v>576</v>
      </c>
      <c r="R106" s="113"/>
      <c r="S106" s="114" t="s">
        <v>577</v>
      </c>
      <c r="T106" s="115" t="s">
        <v>578</v>
      </c>
      <c r="U106" s="116">
        <v>120963026</v>
      </c>
      <c r="V106" s="116">
        <v>97888568</v>
      </c>
      <c r="W106" s="116">
        <v>23074458</v>
      </c>
      <c r="X106" s="106" t="s">
        <v>245</v>
      </c>
      <c r="Y106" s="117" t="s">
        <v>258</v>
      </c>
      <c r="Z106" s="117">
        <v>31</v>
      </c>
      <c r="AA106" s="117">
        <v>4</v>
      </c>
      <c r="AB106" s="117">
        <v>2</v>
      </c>
      <c r="AC106" s="117">
        <v>0</v>
      </c>
      <c r="AD106" s="118">
        <v>0.87096774193548387</v>
      </c>
      <c r="AE106" s="117" t="s">
        <v>35</v>
      </c>
      <c r="AF106" s="117" t="s">
        <v>35</v>
      </c>
      <c r="AG106" s="106"/>
      <c r="AH106" s="106"/>
      <c r="AI106" s="106"/>
      <c r="AJ106" s="106"/>
      <c r="AK106" s="119"/>
      <c r="AL106" s="119"/>
    </row>
    <row r="107" spans="1:38" ht="66" x14ac:dyDescent="0.3">
      <c r="A107" s="105">
        <v>662</v>
      </c>
      <c r="B107" s="106" t="s">
        <v>202</v>
      </c>
      <c r="C107" s="107" t="s">
        <v>43</v>
      </c>
      <c r="D107" s="108" t="s">
        <v>172</v>
      </c>
      <c r="E107" s="106" t="s">
        <v>579</v>
      </c>
      <c r="F107" s="109">
        <v>1</v>
      </c>
      <c r="G107" s="109">
        <v>3</v>
      </c>
      <c r="H107" s="109" t="s">
        <v>242</v>
      </c>
      <c r="I107" s="110">
        <v>45658</v>
      </c>
      <c r="J107" s="110">
        <v>46022</v>
      </c>
      <c r="K107" s="110">
        <v>45108</v>
      </c>
      <c r="L107" s="110">
        <v>46022</v>
      </c>
      <c r="M107" s="111">
        <v>45777</v>
      </c>
      <c r="N107" s="111">
        <v>45869</v>
      </c>
      <c r="O107" s="111">
        <v>45961</v>
      </c>
      <c r="P107" s="112"/>
      <c r="Q107" s="113" t="s">
        <v>106</v>
      </c>
      <c r="R107" s="113"/>
      <c r="S107" s="114" t="s">
        <v>499</v>
      </c>
      <c r="T107" s="115" t="s">
        <v>580</v>
      </c>
      <c r="U107" s="116">
        <v>101633944</v>
      </c>
      <c r="V107" s="116">
        <v>62501369</v>
      </c>
      <c r="W107" s="116">
        <v>39132575</v>
      </c>
      <c r="X107" s="106" t="s">
        <v>245</v>
      </c>
      <c r="Y107" s="117" t="s">
        <v>258</v>
      </c>
      <c r="Z107" s="117">
        <v>113</v>
      </c>
      <c r="AA107" s="117">
        <v>1</v>
      </c>
      <c r="AB107" s="117">
        <v>106</v>
      </c>
      <c r="AC107" s="117">
        <v>0</v>
      </c>
      <c r="AD107" s="118">
        <v>0.99115044247787609</v>
      </c>
      <c r="AE107" s="117" t="s">
        <v>35</v>
      </c>
      <c r="AF107" s="117" t="s">
        <v>35</v>
      </c>
      <c r="AG107" s="106"/>
      <c r="AH107" s="106"/>
      <c r="AI107" s="106"/>
      <c r="AJ107" s="106"/>
      <c r="AK107" s="119"/>
      <c r="AL107" s="119"/>
    </row>
    <row r="108" spans="1:38" ht="49.5" x14ac:dyDescent="0.3">
      <c r="A108" s="105">
        <v>663</v>
      </c>
      <c r="B108" s="106" t="s">
        <v>202</v>
      </c>
      <c r="C108" s="107" t="s">
        <v>43</v>
      </c>
      <c r="D108" s="108" t="s">
        <v>172</v>
      </c>
      <c r="E108" s="106" t="s">
        <v>173</v>
      </c>
      <c r="F108" s="109">
        <v>1</v>
      </c>
      <c r="G108" s="109">
        <v>3</v>
      </c>
      <c r="H108" s="109" t="s">
        <v>242</v>
      </c>
      <c r="I108" s="110">
        <v>45658</v>
      </c>
      <c r="J108" s="110">
        <v>46022</v>
      </c>
      <c r="K108" s="110">
        <v>45108</v>
      </c>
      <c r="L108" s="110">
        <v>46022</v>
      </c>
      <c r="M108" s="111">
        <v>45777</v>
      </c>
      <c r="N108" s="111">
        <v>45869</v>
      </c>
      <c r="O108" s="111">
        <v>45961</v>
      </c>
      <c r="P108" s="112"/>
      <c r="Q108" s="113" t="s">
        <v>174</v>
      </c>
      <c r="R108" s="113"/>
      <c r="S108" s="114" t="s">
        <v>581</v>
      </c>
      <c r="T108" s="115" t="s">
        <v>175</v>
      </c>
      <c r="U108" s="116">
        <v>209258517</v>
      </c>
      <c r="V108" s="116">
        <v>193276514</v>
      </c>
      <c r="W108" s="116">
        <v>15982003</v>
      </c>
      <c r="X108" s="106" t="s">
        <v>253</v>
      </c>
      <c r="Y108" s="117" t="s">
        <v>286</v>
      </c>
      <c r="Z108" s="117">
        <v>232</v>
      </c>
      <c r="AA108" s="117">
        <v>6</v>
      </c>
      <c r="AB108" s="117">
        <v>0</v>
      </c>
      <c r="AC108" s="117">
        <v>221</v>
      </c>
      <c r="AD108" s="118">
        <v>0.97413793103448276</v>
      </c>
      <c r="AE108" s="117" t="s">
        <v>35</v>
      </c>
      <c r="AF108" s="117" t="s">
        <v>35</v>
      </c>
      <c r="AG108" s="106"/>
      <c r="AH108" s="106"/>
      <c r="AI108" s="106"/>
      <c r="AJ108" s="106"/>
      <c r="AK108" s="119"/>
      <c r="AL108" s="119"/>
    </row>
    <row r="109" spans="1:38" ht="66" x14ac:dyDescent="0.3">
      <c r="A109" s="105">
        <v>664</v>
      </c>
      <c r="B109" s="106" t="s">
        <v>202</v>
      </c>
      <c r="C109" s="107" t="s">
        <v>43</v>
      </c>
      <c r="D109" s="108" t="s">
        <v>172</v>
      </c>
      <c r="E109" s="106" t="s">
        <v>582</v>
      </c>
      <c r="F109" s="109">
        <v>1</v>
      </c>
      <c r="G109" s="109">
        <v>3</v>
      </c>
      <c r="H109" s="109" t="s">
        <v>242</v>
      </c>
      <c r="I109" s="110">
        <v>45658</v>
      </c>
      <c r="J109" s="110">
        <v>46022</v>
      </c>
      <c r="K109" s="110">
        <v>45108</v>
      </c>
      <c r="L109" s="110">
        <v>46022</v>
      </c>
      <c r="M109" s="111">
        <v>45777</v>
      </c>
      <c r="N109" s="111">
        <v>45869</v>
      </c>
      <c r="O109" s="111">
        <v>45961</v>
      </c>
      <c r="P109" s="112"/>
      <c r="Q109" s="113" t="s">
        <v>583</v>
      </c>
      <c r="R109" s="113"/>
      <c r="S109" s="114" t="s">
        <v>584</v>
      </c>
      <c r="T109" s="115" t="s">
        <v>585</v>
      </c>
      <c r="U109" s="116">
        <v>109046000</v>
      </c>
      <c r="V109" s="116">
        <v>108591999</v>
      </c>
      <c r="W109" s="116">
        <v>454001</v>
      </c>
      <c r="X109" s="106" t="s">
        <v>245</v>
      </c>
      <c r="Y109" s="117" t="s">
        <v>286</v>
      </c>
      <c r="Z109" s="117">
        <v>50</v>
      </c>
      <c r="AA109" s="117">
        <v>3</v>
      </c>
      <c r="AB109" s="117">
        <v>1</v>
      </c>
      <c r="AC109" s="117">
        <v>0</v>
      </c>
      <c r="AD109" s="118">
        <v>0.94</v>
      </c>
      <c r="AE109" s="117" t="s">
        <v>35</v>
      </c>
      <c r="AF109" s="117" t="s">
        <v>35</v>
      </c>
      <c r="AG109" s="106"/>
      <c r="AH109" s="106"/>
      <c r="AI109" s="106"/>
      <c r="AJ109" s="106"/>
      <c r="AK109" s="119"/>
      <c r="AL109" s="119"/>
    </row>
    <row r="110" spans="1:38" ht="66" x14ac:dyDescent="0.3">
      <c r="A110" s="105">
        <v>665</v>
      </c>
      <c r="B110" s="106" t="s">
        <v>202</v>
      </c>
      <c r="C110" s="107" t="s">
        <v>43</v>
      </c>
      <c r="D110" s="108" t="s">
        <v>177</v>
      </c>
      <c r="E110" s="106" t="s">
        <v>586</v>
      </c>
      <c r="F110" s="109">
        <v>1</v>
      </c>
      <c r="G110" s="109">
        <v>3</v>
      </c>
      <c r="H110" s="109" t="s">
        <v>242</v>
      </c>
      <c r="I110" s="110">
        <v>45658</v>
      </c>
      <c r="J110" s="110">
        <v>46022</v>
      </c>
      <c r="K110" s="110">
        <v>45108</v>
      </c>
      <c r="L110" s="110">
        <v>46022</v>
      </c>
      <c r="M110" s="111">
        <v>45777</v>
      </c>
      <c r="N110" s="111">
        <v>45869</v>
      </c>
      <c r="O110" s="111">
        <v>45961</v>
      </c>
      <c r="P110" s="112"/>
      <c r="Q110" s="113" t="s">
        <v>102</v>
      </c>
      <c r="R110" s="113"/>
      <c r="S110" s="114" t="s">
        <v>495</v>
      </c>
      <c r="T110" s="115" t="s">
        <v>587</v>
      </c>
      <c r="U110" s="116">
        <v>89965330</v>
      </c>
      <c r="V110" s="116">
        <v>89768464</v>
      </c>
      <c r="W110" s="116">
        <v>196866</v>
      </c>
      <c r="X110" s="106" t="s">
        <v>245</v>
      </c>
      <c r="Y110" s="117" t="s">
        <v>286</v>
      </c>
      <c r="Z110" s="117">
        <v>65</v>
      </c>
      <c r="AA110" s="117">
        <v>6</v>
      </c>
      <c r="AB110" s="117">
        <v>0</v>
      </c>
      <c r="AC110" s="117">
        <v>2</v>
      </c>
      <c r="AD110" s="118">
        <v>0.90769230769230769</v>
      </c>
      <c r="AE110" s="117" t="s">
        <v>35</v>
      </c>
      <c r="AF110" s="117" t="s">
        <v>35</v>
      </c>
      <c r="AG110" s="106"/>
      <c r="AH110" s="106"/>
      <c r="AI110" s="106"/>
      <c r="AJ110" s="106"/>
      <c r="AK110" s="119"/>
      <c r="AL110" s="119"/>
    </row>
    <row r="111" spans="1:38" ht="49.5" x14ac:dyDescent="0.3">
      <c r="A111" s="105">
        <v>666</v>
      </c>
      <c r="B111" s="106" t="s">
        <v>202</v>
      </c>
      <c r="C111" s="107" t="s">
        <v>43</v>
      </c>
      <c r="D111" s="108" t="s">
        <v>177</v>
      </c>
      <c r="E111" s="106" t="s">
        <v>588</v>
      </c>
      <c r="F111" s="109">
        <v>1</v>
      </c>
      <c r="G111" s="109">
        <v>3</v>
      </c>
      <c r="H111" s="109" t="s">
        <v>242</v>
      </c>
      <c r="I111" s="110">
        <v>45658</v>
      </c>
      <c r="J111" s="110">
        <v>46022</v>
      </c>
      <c r="K111" s="110">
        <v>45108</v>
      </c>
      <c r="L111" s="110">
        <v>46022</v>
      </c>
      <c r="M111" s="111">
        <v>45777</v>
      </c>
      <c r="N111" s="111">
        <v>45869</v>
      </c>
      <c r="O111" s="111">
        <v>45961</v>
      </c>
      <c r="P111" s="112"/>
      <c r="Q111" s="113" t="s">
        <v>589</v>
      </c>
      <c r="R111" s="113"/>
      <c r="S111" s="114" t="s">
        <v>590</v>
      </c>
      <c r="T111" s="115" t="s">
        <v>591</v>
      </c>
      <c r="U111" s="116">
        <v>222428370</v>
      </c>
      <c r="V111" s="116">
        <v>222428370</v>
      </c>
      <c r="W111" s="116">
        <v>0</v>
      </c>
      <c r="X111" s="106" t="s">
        <v>245</v>
      </c>
      <c r="Y111" s="117" t="s">
        <v>258</v>
      </c>
      <c r="Z111" s="117">
        <v>73</v>
      </c>
      <c r="AA111" s="117">
        <v>11</v>
      </c>
      <c r="AB111" s="117">
        <v>8</v>
      </c>
      <c r="AC111" s="117">
        <v>0</v>
      </c>
      <c r="AD111" s="118">
        <v>0.84931506849315064</v>
      </c>
      <c r="AE111" s="117" t="s">
        <v>35</v>
      </c>
      <c r="AF111" s="117" t="s">
        <v>35</v>
      </c>
      <c r="AG111" s="106"/>
      <c r="AH111" s="106"/>
      <c r="AI111" s="106"/>
      <c r="AJ111" s="106"/>
      <c r="AK111" s="119"/>
      <c r="AL111" s="119"/>
    </row>
    <row r="112" spans="1:38" ht="66" x14ac:dyDescent="0.3">
      <c r="A112" s="105">
        <v>667</v>
      </c>
      <c r="B112" s="106" t="s">
        <v>202</v>
      </c>
      <c r="C112" s="107" t="s">
        <v>43</v>
      </c>
      <c r="D112" s="108" t="s">
        <v>177</v>
      </c>
      <c r="E112" s="106" t="s">
        <v>592</v>
      </c>
      <c r="F112" s="109">
        <v>1</v>
      </c>
      <c r="G112" s="109">
        <v>3</v>
      </c>
      <c r="H112" s="109" t="s">
        <v>242</v>
      </c>
      <c r="I112" s="110">
        <v>45658</v>
      </c>
      <c r="J112" s="110">
        <v>46022</v>
      </c>
      <c r="K112" s="110">
        <v>45108</v>
      </c>
      <c r="L112" s="110">
        <v>46022</v>
      </c>
      <c r="M112" s="111">
        <v>45777</v>
      </c>
      <c r="N112" s="111">
        <v>45869</v>
      </c>
      <c r="O112" s="111">
        <v>45961</v>
      </c>
      <c r="P112" s="112"/>
      <c r="Q112" s="113" t="s">
        <v>187</v>
      </c>
      <c r="R112" s="113"/>
      <c r="S112" s="114" t="s">
        <v>593</v>
      </c>
      <c r="T112" s="115" t="s">
        <v>594</v>
      </c>
      <c r="U112" s="116">
        <v>203604448</v>
      </c>
      <c r="V112" s="116">
        <v>203603486</v>
      </c>
      <c r="W112" s="116">
        <v>962</v>
      </c>
      <c r="X112" s="106" t="s">
        <v>245</v>
      </c>
      <c r="Y112" s="117" t="s">
        <v>251</v>
      </c>
      <c r="Z112" s="117">
        <v>89</v>
      </c>
      <c r="AA112" s="117">
        <v>8</v>
      </c>
      <c r="AB112" s="117">
        <v>0</v>
      </c>
      <c r="AC112" s="117">
        <v>80</v>
      </c>
      <c r="AD112" s="118">
        <v>0.9101123595505618</v>
      </c>
      <c r="AE112" s="117" t="s">
        <v>35</v>
      </c>
      <c r="AF112" s="117" t="s">
        <v>35</v>
      </c>
      <c r="AG112" s="106"/>
      <c r="AH112" s="106"/>
      <c r="AI112" s="106"/>
      <c r="AJ112" s="106"/>
      <c r="AK112" s="119"/>
      <c r="AL112" s="119"/>
    </row>
    <row r="113" spans="1:38" ht="49.5" x14ac:dyDescent="0.3">
      <c r="A113" s="105">
        <v>668</v>
      </c>
      <c r="B113" s="106" t="s">
        <v>202</v>
      </c>
      <c r="C113" s="107" t="s">
        <v>43</v>
      </c>
      <c r="D113" s="108" t="s">
        <v>177</v>
      </c>
      <c r="E113" s="106" t="s">
        <v>595</v>
      </c>
      <c r="F113" s="109">
        <v>1</v>
      </c>
      <c r="G113" s="109">
        <v>3</v>
      </c>
      <c r="H113" s="109" t="s">
        <v>242</v>
      </c>
      <c r="I113" s="110">
        <v>45658</v>
      </c>
      <c r="J113" s="110">
        <v>46022</v>
      </c>
      <c r="K113" s="110">
        <v>45108</v>
      </c>
      <c r="L113" s="110">
        <v>46022</v>
      </c>
      <c r="M113" s="111">
        <v>45777</v>
      </c>
      <c r="N113" s="111">
        <v>45869</v>
      </c>
      <c r="O113" s="111">
        <v>45961</v>
      </c>
      <c r="P113" s="112"/>
      <c r="Q113" s="113" t="s">
        <v>596</v>
      </c>
      <c r="R113" s="113"/>
      <c r="S113" s="114" t="s">
        <v>597</v>
      </c>
      <c r="T113" s="115" t="s">
        <v>598</v>
      </c>
      <c r="U113" s="116">
        <v>202500000</v>
      </c>
      <c r="V113" s="116">
        <v>170989600</v>
      </c>
      <c r="W113" s="116">
        <v>31510400</v>
      </c>
      <c r="X113" s="106" t="s">
        <v>245</v>
      </c>
      <c r="Y113" s="117" t="s">
        <v>251</v>
      </c>
      <c r="Z113" s="117">
        <v>152</v>
      </c>
      <c r="AA113" s="117">
        <v>18</v>
      </c>
      <c r="AB113" s="117">
        <v>0</v>
      </c>
      <c r="AC113" s="117">
        <v>39</v>
      </c>
      <c r="AD113" s="118">
        <v>0.88157894736842102</v>
      </c>
      <c r="AE113" s="117" t="s">
        <v>35</v>
      </c>
      <c r="AF113" s="117" t="s">
        <v>35</v>
      </c>
      <c r="AG113" s="106"/>
      <c r="AH113" s="106"/>
      <c r="AI113" s="106"/>
      <c r="AJ113" s="106"/>
      <c r="AK113" s="119"/>
      <c r="AL113" s="119"/>
    </row>
    <row r="114" spans="1:38" ht="49.5" x14ac:dyDescent="0.3">
      <c r="A114" s="105">
        <v>669</v>
      </c>
      <c r="B114" s="106" t="s">
        <v>202</v>
      </c>
      <c r="C114" s="107" t="s">
        <v>43</v>
      </c>
      <c r="D114" s="108" t="s">
        <v>177</v>
      </c>
      <c r="E114" s="106" t="s">
        <v>599</v>
      </c>
      <c r="F114" s="109">
        <v>1</v>
      </c>
      <c r="G114" s="109">
        <v>3</v>
      </c>
      <c r="H114" s="109" t="s">
        <v>242</v>
      </c>
      <c r="I114" s="110">
        <v>45658</v>
      </c>
      <c r="J114" s="110">
        <v>46022</v>
      </c>
      <c r="K114" s="110">
        <v>45108</v>
      </c>
      <c r="L114" s="110">
        <v>46022</v>
      </c>
      <c r="M114" s="111">
        <v>45777</v>
      </c>
      <c r="N114" s="111">
        <v>45869</v>
      </c>
      <c r="O114" s="111">
        <v>45961</v>
      </c>
      <c r="P114" s="112"/>
      <c r="Q114" s="113" t="s">
        <v>600</v>
      </c>
      <c r="R114" s="113"/>
      <c r="S114" s="114" t="s">
        <v>601</v>
      </c>
      <c r="T114" s="115" t="s">
        <v>602</v>
      </c>
      <c r="U114" s="116">
        <v>285682029</v>
      </c>
      <c r="V114" s="116">
        <v>281223200</v>
      </c>
      <c r="W114" s="116">
        <v>4458829</v>
      </c>
      <c r="X114" s="106" t="s">
        <v>245</v>
      </c>
      <c r="Y114" s="117" t="s">
        <v>286</v>
      </c>
      <c r="Z114" s="117">
        <v>69</v>
      </c>
      <c r="AA114" s="117">
        <v>5</v>
      </c>
      <c r="AB114" s="117">
        <v>1</v>
      </c>
      <c r="AC114" s="117">
        <v>0</v>
      </c>
      <c r="AD114" s="118">
        <v>0.92753623188405798</v>
      </c>
      <c r="AE114" s="117" t="s">
        <v>35</v>
      </c>
      <c r="AF114" s="117" t="s">
        <v>35</v>
      </c>
      <c r="AG114" s="106"/>
      <c r="AH114" s="106"/>
      <c r="AI114" s="106"/>
      <c r="AJ114" s="106"/>
      <c r="AK114" s="119"/>
      <c r="AL114" s="119"/>
    </row>
    <row r="115" spans="1:38" ht="66" x14ac:dyDescent="0.3">
      <c r="A115" s="105">
        <v>670</v>
      </c>
      <c r="B115" s="106" t="s">
        <v>202</v>
      </c>
      <c r="C115" s="107" t="s">
        <v>43</v>
      </c>
      <c r="D115" s="108" t="s">
        <v>177</v>
      </c>
      <c r="E115" s="106" t="s">
        <v>178</v>
      </c>
      <c r="F115" s="109">
        <v>1</v>
      </c>
      <c r="G115" s="109">
        <v>3</v>
      </c>
      <c r="H115" s="109" t="s">
        <v>242</v>
      </c>
      <c r="I115" s="110">
        <v>45658</v>
      </c>
      <c r="J115" s="110">
        <v>46022</v>
      </c>
      <c r="K115" s="110">
        <v>45108</v>
      </c>
      <c r="L115" s="110">
        <v>46022</v>
      </c>
      <c r="M115" s="111">
        <v>45777</v>
      </c>
      <c r="N115" s="111">
        <v>45869</v>
      </c>
      <c r="O115" s="111">
        <v>45961</v>
      </c>
      <c r="P115" s="112"/>
      <c r="Q115" s="113" t="s">
        <v>106</v>
      </c>
      <c r="R115" s="113"/>
      <c r="S115" s="114" t="s">
        <v>499</v>
      </c>
      <c r="T115" s="115" t="s">
        <v>179</v>
      </c>
      <c r="U115" s="116">
        <v>142098082</v>
      </c>
      <c r="V115" s="116">
        <v>104549232</v>
      </c>
      <c r="W115" s="116">
        <v>37548850</v>
      </c>
      <c r="X115" s="106" t="s">
        <v>253</v>
      </c>
      <c r="Y115" s="117" t="s">
        <v>286</v>
      </c>
      <c r="Z115" s="117">
        <v>63</v>
      </c>
      <c r="AA115" s="117">
        <v>10</v>
      </c>
      <c r="AB115" s="117">
        <v>34</v>
      </c>
      <c r="AC115" s="117">
        <v>0</v>
      </c>
      <c r="AD115" s="118">
        <v>0.84126984126984128</v>
      </c>
      <c r="AE115" s="117" t="s">
        <v>35</v>
      </c>
      <c r="AF115" s="117" t="s">
        <v>35</v>
      </c>
      <c r="AG115" s="106"/>
      <c r="AH115" s="106"/>
      <c r="AI115" s="106"/>
      <c r="AJ115" s="106"/>
      <c r="AK115" s="119"/>
      <c r="AL115" s="119"/>
    </row>
    <row r="116" spans="1:38" ht="66" x14ac:dyDescent="0.3">
      <c r="A116" s="105">
        <v>671</v>
      </c>
      <c r="B116" s="106" t="s">
        <v>202</v>
      </c>
      <c r="C116" s="107" t="s">
        <v>43</v>
      </c>
      <c r="D116" s="108" t="s">
        <v>177</v>
      </c>
      <c r="E116" s="106" t="s">
        <v>603</v>
      </c>
      <c r="F116" s="109">
        <v>1</v>
      </c>
      <c r="G116" s="109">
        <v>3</v>
      </c>
      <c r="H116" s="109" t="s">
        <v>242</v>
      </c>
      <c r="I116" s="110">
        <v>45658</v>
      </c>
      <c r="J116" s="110">
        <v>46022</v>
      </c>
      <c r="K116" s="110">
        <v>45108</v>
      </c>
      <c r="L116" s="110">
        <v>46022</v>
      </c>
      <c r="M116" s="111">
        <v>45777</v>
      </c>
      <c r="N116" s="111">
        <v>45869</v>
      </c>
      <c r="O116" s="111">
        <v>45961</v>
      </c>
      <c r="P116" s="112"/>
      <c r="Q116" s="113" t="s">
        <v>604</v>
      </c>
      <c r="R116" s="113"/>
      <c r="S116" s="114" t="s">
        <v>605</v>
      </c>
      <c r="T116" s="115" t="s">
        <v>606</v>
      </c>
      <c r="U116" s="116">
        <v>242332353</v>
      </c>
      <c r="V116" s="116">
        <v>242169402</v>
      </c>
      <c r="W116" s="116">
        <v>162951</v>
      </c>
      <c r="X116" s="106" t="s">
        <v>245</v>
      </c>
      <c r="Y116" s="117" t="s">
        <v>286</v>
      </c>
      <c r="Z116" s="117">
        <v>90</v>
      </c>
      <c r="AA116" s="117">
        <v>0</v>
      </c>
      <c r="AB116" s="117">
        <v>0</v>
      </c>
      <c r="AC116" s="117">
        <v>17</v>
      </c>
      <c r="AD116" s="118">
        <v>1</v>
      </c>
      <c r="AE116" s="117" t="s">
        <v>35</v>
      </c>
      <c r="AF116" s="117" t="s">
        <v>35</v>
      </c>
      <c r="AG116" s="106"/>
      <c r="AH116" s="106"/>
      <c r="AI116" s="106"/>
      <c r="AJ116" s="106"/>
      <c r="AK116" s="119"/>
      <c r="AL116" s="119"/>
    </row>
    <row r="117" spans="1:38" ht="49.5" x14ac:dyDescent="0.3">
      <c r="A117" s="105">
        <v>759</v>
      </c>
      <c r="B117" s="106" t="s">
        <v>202</v>
      </c>
      <c r="C117" s="107" t="s">
        <v>43</v>
      </c>
      <c r="D117" s="108" t="s">
        <v>180</v>
      </c>
      <c r="E117" s="106" t="s">
        <v>607</v>
      </c>
      <c r="F117" s="109">
        <v>2</v>
      </c>
      <c r="G117" s="109">
        <v>1</v>
      </c>
      <c r="H117" s="109" t="s">
        <v>242</v>
      </c>
      <c r="I117" s="110">
        <v>45658</v>
      </c>
      <c r="J117" s="110">
        <v>46022</v>
      </c>
      <c r="K117" s="110">
        <v>45658</v>
      </c>
      <c r="L117" s="110">
        <v>46387</v>
      </c>
      <c r="M117" s="111">
        <v>45777</v>
      </c>
      <c r="N117" s="111">
        <v>45869</v>
      </c>
      <c r="O117" s="111">
        <v>45961</v>
      </c>
      <c r="P117" s="112"/>
      <c r="Q117" s="113" t="s">
        <v>608</v>
      </c>
      <c r="R117" s="113"/>
      <c r="S117" s="114" t="s">
        <v>609</v>
      </c>
      <c r="T117" s="115" t="s">
        <v>610</v>
      </c>
      <c r="U117" s="116">
        <v>150490733</v>
      </c>
      <c r="V117" s="116">
        <v>150392382</v>
      </c>
      <c r="W117" s="116">
        <v>98351</v>
      </c>
      <c r="X117" s="106" t="s">
        <v>245</v>
      </c>
      <c r="Y117" s="117" t="s">
        <v>246</v>
      </c>
      <c r="Z117" s="117">
        <v>253</v>
      </c>
      <c r="AA117" s="117">
        <v>0</v>
      </c>
      <c r="AB117" s="117">
        <v>0</v>
      </c>
      <c r="AC117" s="117">
        <v>0</v>
      </c>
      <c r="AD117" s="118">
        <v>1</v>
      </c>
      <c r="AE117" s="117" t="s">
        <v>35</v>
      </c>
      <c r="AF117" s="117" t="s">
        <v>35</v>
      </c>
      <c r="AG117" s="106"/>
      <c r="AH117" s="106"/>
      <c r="AI117" s="106"/>
      <c r="AJ117" s="106"/>
      <c r="AK117" s="119"/>
      <c r="AL117" s="119"/>
    </row>
    <row r="118" spans="1:38" ht="66" x14ac:dyDescent="0.3">
      <c r="A118" s="105">
        <v>760</v>
      </c>
      <c r="B118" s="106" t="s">
        <v>202</v>
      </c>
      <c r="C118" s="107" t="s">
        <v>43</v>
      </c>
      <c r="D118" s="108" t="s">
        <v>180</v>
      </c>
      <c r="E118" s="106" t="s">
        <v>611</v>
      </c>
      <c r="F118" s="109">
        <v>2</v>
      </c>
      <c r="G118" s="109">
        <v>1</v>
      </c>
      <c r="H118" s="109" t="s">
        <v>242</v>
      </c>
      <c r="I118" s="110">
        <v>45658</v>
      </c>
      <c r="J118" s="110">
        <v>46022</v>
      </c>
      <c r="K118" s="110">
        <v>45658</v>
      </c>
      <c r="L118" s="110">
        <v>46387</v>
      </c>
      <c r="M118" s="111">
        <v>45777</v>
      </c>
      <c r="N118" s="111">
        <v>45869</v>
      </c>
      <c r="O118" s="111">
        <v>45961</v>
      </c>
      <c r="P118" s="112"/>
      <c r="Q118" s="113" t="s">
        <v>612</v>
      </c>
      <c r="R118" s="113"/>
      <c r="S118" s="114" t="s">
        <v>613</v>
      </c>
      <c r="T118" s="115" t="s">
        <v>614</v>
      </c>
      <c r="U118" s="116">
        <v>101626900</v>
      </c>
      <c r="V118" s="116">
        <v>101623404</v>
      </c>
      <c r="W118" s="116">
        <v>3496</v>
      </c>
      <c r="X118" s="106" t="s">
        <v>245</v>
      </c>
      <c r="Y118" s="117" t="s">
        <v>251</v>
      </c>
      <c r="Z118" s="117">
        <v>46</v>
      </c>
      <c r="AA118" s="117">
        <v>1</v>
      </c>
      <c r="AB118" s="117">
        <v>6</v>
      </c>
      <c r="AC118" s="117">
        <v>6</v>
      </c>
      <c r="AD118" s="118">
        <v>0.97826086956521741</v>
      </c>
      <c r="AE118" s="117" t="s">
        <v>35</v>
      </c>
      <c r="AF118" s="117" t="s">
        <v>35</v>
      </c>
      <c r="AG118" s="106"/>
      <c r="AH118" s="106"/>
      <c r="AI118" s="106"/>
      <c r="AJ118" s="106"/>
      <c r="AK118" s="119"/>
      <c r="AL118" s="119"/>
    </row>
    <row r="119" spans="1:38" ht="66" x14ac:dyDescent="0.3">
      <c r="A119" s="105">
        <v>761</v>
      </c>
      <c r="B119" s="106" t="s">
        <v>202</v>
      </c>
      <c r="C119" s="107" t="s">
        <v>43</v>
      </c>
      <c r="D119" s="108" t="s">
        <v>180</v>
      </c>
      <c r="E119" s="106" t="s">
        <v>181</v>
      </c>
      <c r="F119" s="109">
        <v>2</v>
      </c>
      <c r="G119" s="109">
        <v>1</v>
      </c>
      <c r="H119" s="109" t="s">
        <v>242</v>
      </c>
      <c r="I119" s="110">
        <v>45658</v>
      </c>
      <c r="J119" s="110">
        <v>46022</v>
      </c>
      <c r="K119" s="110">
        <v>45658</v>
      </c>
      <c r="L119" s="110">
        <v>46387</v>
      </c>
      <c r="M119" s="111">
        <v>45777</v>
      </c>
      <c r="N119" s="111">
        <v>45869</v>
      </c>
      <c r="O119" s="111">
        <v>45961</v>
      </c>
      <c r="P119" s="112"/>
      <c r="Q119" s="113" t="s">
        <v>182</v>
      </c>
      <c r="R119" s="113"/>
      <c r="S119" s="114" t="s">
        <v>521</v>
      </c>
      <c r="T119" s="115" t="s">
        <v>183</v>
      </c>
      <c r="U119" s="116">
        <v>311348016</v>
      </c>
      <c r="V119" s="116">
        <v>277729921</v>
      </c>
      <c r="W119" s="116">
        <v>33618095</v>
      </c>
      <c r="X119" s="106" t="s">
        <v>253</v>
      </c>
      <c r="Y119" s="117" t="s">
        <v>251</v>
      </c>
      <c r="Z119" s="117">
        <v>201</v>
      </c>
      <c r="AA119" s="117">
        <v>0</v>
      </c>
      <c r="AB119" s="117">
        <v>0</v>
      </c>
      <c r="AC119" s="117">
        <v>114</v>
      </c>
      <c r="AD119" s="118">
        <v>1</v>
      </c>
      <c r="AE119" s="117" t="s">
        <v>35</v>
      </c>
      <c r="AF119" s="117" t="s">
        <v>35</v>
      </c>
      <c r="AG119" s="106"/>
      <c r="AH119" s="106"/>
      <c r="AI119" s="106"/>
      <c r="AJ119" s="106"/>
      <c r="AK119" s="119"/>
      <c r="AL119" s="119"/>
    </row>
    <row r="120" spans="1:38" ht="66" x14ac:dyDescent="0.3">
      <c r="A120" s="105">
        <v>772</v>
      </c>
      <c r="B120" s="106" t="s">
        <v>202</v>
      </c>
      <c r="C120" s="107" t="s">
        <v>43</v>
      </c>
      <c r="D120" s="108" t="s">
        <v>185</v>
      </c>
      <c r="E120" s="106" t="s">
        <v>186</v>
      </c>
      <c r="F120" s="109">
        <v>0</v>
      </c>
      <c r="G120" s="109">
        <v>4</v>
      </c>
      <c r="H120" s="109" t="s">
        <v>242</v>
      </c>
      <c r="I120" s="110">
        <v>45658</v>
      </c>
      <c r="J120" s="110">
        <v>46022</v>
      </c>
      <c r="K120" s="110">
        <v>44743</v>
      </c>
      <c r="L120" s="110">
        <v>46022</v>
      </c>
      <c r="M120" s="111">
        <v>45777</v>
      </c>
      <c r="N120" s="111">
        <v>45869</v>
      </c>
      <c r="O120" s="111">
        <v>45961</v>
      </c>
      <c r="P120" s="112"/>
      <c r="Q120" s="113" t="s">
        <v>187</v>
      </c>
      <c r="R120" s="113"/>
      <c r="S120" s="114" t="s">
        <v>593</v>
      </c>
      <c r="T120" s="115" t="s">
        <v>188</v>
      </c>
      <c r="U120" s="116">
        <v>881618360</v>
      </c>
      <c r="V120" s="116">
        <v>881618360</v>
      </c>
      <c r="W120" s="116">
        <v>0</v>
      </c>
      <c r="X120" s="106" t="s">
        <v>253</v>
      </c>
      <c r="Y120" s="117" t="s">
        <v>286</v>
      </c>
      <c r="Z120" s="117">
        <v>309</v>
      </c>
      <c r="AA120" s="117">
        <v>3</v>
      </c>
      <c r="AB120" s="117">
        <v>37</v>
      </c>
      <c r="AC120" s="117">
        <v>0</v>
      </c>
      <c r="AD120" s="118">
        <v>0.99029126213592233</v>
      </c>
      <c r="AE120" s="117" t="s">
        <v>35</v>
      </c>
      <c r="AF120" s="117" t="s">
        <v>35</v>
      </c>
      <c r="AG120" s="106"/>
      <c r="AH120" s="106"/>
      <c r="AI120" s="106"/>
      <c r="AJ120" s="106"/>
      <c r="AK120" s="119"/>
      <c r="AL120" s="119"/>
    </row>
    <row r="121" spans="1:38" ht="49.5" x14ac:dyDescent="0.3">
      <c r="A121" s="105">
        <v>829</v>
      </c>
      <c r="B121" s="106" t="s">
        <v>202</v>
      </c>
      <c r="C121" s="107" t="s">
        <v>43</v>
      </c>
      <c r="D121" s="108" t="s">
        <v>190</v>
      </c>
      <c r="E121" s="106" t="s">
        <v>191</v>
      </c>
      <c r="F121" s="109">
        <v>2</v>
      </c>
      <c r="G121" s="109">
        <v>2</v>
      </c>
      <c r="H121" s="109" t="s">
        <v>242</v>
      </c>
      <c r="I121" s="110">
        <v>45658</v>
      </c>
      <c r="J121" s="110">
        <v>46022</v>
      </c>
      <c r="K121" s="110">
        <v>45292</v>
      </c>
      <c r="L121" s="110">
        <v>46234</v>
      </c>
      <c r="M121" s="111">
        <v>45777</v>
      </c>
      <c r="N121" s="111">
        <v>45869</v>
      </c>
      <c r="O121" s="111">
        <v>45961</v>
      </c>
      <c r="P121" s="112"/>
      <c r="Q121" s="113" t="s">
        <v>192</v>
      </c>
      <c r="R121" s="113"/>
      <c r="S121" s="114" t="s">
        <v>488</v>
      </c>
      <c r="T121" s="115" t="s">
        <v>193</v>
      </c>
      <c r="U121" s="116">
        <v>523992975</v>
      </c>
      <c r="V121" s="116">
        <v>403043341</v>
      </c>
      <c r="W121" s="116">
        <v>120949634</v>
      </c>
      <c r="X121" s="106" t="s">
        <v>253</v>
      </c>
      <c r="Y121" s="117" t="s">
        <v>286</v>
      </c>
      <c r="Z121" s="117">
        <v>729</v>
      </c>
      <c r="AA121" s="117">
        <v>0</v>
      </c>
      <c r="AB121" s="117">
        <v>1</v>
      </c>
      <c r="AC121" s="117">
        <v>0</v>
      </c>
      <c r="AD121" s="118">
        <v>1</v>
      </c>
      <c r="AE121" s="117" t="s">
        <v>35</v>
      </c>
      <c r="AF121" s="117" t="s">
        <v>35</v>
      </c>
      <c r="AG121" s="106"/>
      <c r="AH121" s="106"/>
      <c r="AI121" s="106"/>
      <c r="AJ121" s="106"/>
      <c r="AK121" s="119"/>
      <c r="AL121" s="119"/>
    </row>
    <row r="122" spans="1:38" ht="49.5" x14ac:dyDescent="0.3">
      <c r="A122" s="105">
        <v>924</v>
      </c>
      <c r="B122" s="106" t="s">
        <v>202</v>
      </c>
      <c r="C122" s="107" t="s">
        <v>43</v>
      </c>
      <c r="D122" s="108" t="s">
        <v>195</v>
      </c>
      <c r="E122" s="106" t="s">
        <v>196</v>
      </c>
      <c r="F122" s="109">
        <v>2</v>
      </c>
      <c r="G122" s="109">
        <v>2</v>
      </c>
      <c r="H122" s="109" t="s">
        <v>242</v>
      </c>
      <c r="I122" s="110">
        <v>45658</v>
      </c>
      <c r="J122" s="110">
        <v>45869</v>
      </c>
      <c r="K122" s="110">
        <v>45292</v>
      </c>
      <c r="L122" s="110">
        <v>45869</v>
      </c>
      <c r="M122" s="111">
        <v>45777</v>
      </c>
      <c r="N122" s="111">
        <v>45869</v>
      </c>
      <c r="O122" s="111">
        <v>45961</v>
      </c>
      <c r="P122" s="112"/>
      <c r="Q122" s="113" t="s">
        <v>192</v>
      </c>
      <c r="R122" s="113"/>
      <c r="S122" s="114" t="s">
        <v>488</v>
      </c>
      <c r="T122" s="115" t="s">
        <v>197</v>
      </c>
      <c r="U122" s="116">
        <v>182076414</v>
      </c>
      <c r="V122" s="116">
        <v>165003327</v>
      </c>
      <c r="W122" s="116">
        <v>17073087</v>
      </c>
      <c r="X122" s="106" t="s">
        <v>253</v>
      </c>
      <c r="Y122" s="117" t="s">
        <v>258</v>
      </c>
      <c r="Z122" s="117">
        <v>92</v>
      </c>
      <c r="AA122" s="117">
        <v>0</v>
      </c>
      <c r="AB122" s="117">
        <v>3</v>
      </c>
      <c r="AC122" s="117">
        <v>0</v>
      </c>
      <c r="AD122" s="118">
        <v>1</v>
      </c>
      <c r="AE122" s="117" t="s">
        <v>35</v>
      </c>
      <c r="AF122" s="117" t="s">
        <v>35</v>
      </c>
      <c r="AG122" s="106"/>
      <c r="AH122" s="106"/>
      <c r="AI122" s="106"/>
      <c r="AJ122" s="106"/>
      <c r="AK122" s="119"/>
      <c r="AL122" s="119"/>
    </row>
    <row r="123" spans="1:38" ht="66" x14ac:dyDescent="0.3">
      <c r="A123" s="105">
        <v>925</v>
      </c>
      <c r="B123" s="106" t="s">
        <v>202</v>
      </c>
      <c r="C123" s="107" t="s">
        <v>43</v>
      </c>
      <c r="D123" s="108" t="s">
        <v>198</v>
      </c>
      <c r="E123" s="106" t="s">
        <v>199</v>
      </c>
      <c r="F123" s="109">
        <v>2</v>
      </c>
      <c r="G123" s="109">
        <v>2</v>
      </c>
      <c r="H123" s="109" t="s">
        <v>242</v>
      </c>
      <c r="I123" s="110">
        <v>45658</v>
      </c>
      <c r="J123" s="110">
        <v>46053</v>
      </c>
      <c r="K123" s="110">
        <v>45292</v>
      </c>
      <c r="L123" s="110">
        <v>46053</v>
      </c>
      <c r="M123" s="111">
        <v>45777</v>
      </c>
      <c r="N123" s="111">
        <v>45869</v>
      </c>
      <c r="O123" s="111">
        <v>45961</v>
      </c>
      <c r="P123" s="112"/>
      <c r="Q123" s="113" t="s">
        <v>200</v>
      </c>
      <c r="R123" s="113"/>
      <c r="S123" s="114" t="s">
        <v>615</v>
      </c>
      <c r="T123" s="115" t="s">
        <v>201</v>
      </c>
      <c r="U123" s="116">
        <v>253289936</v>
      </c>
      <c r="V123" s="116">
        <v>47025920</v>
      </c>
      <c r="W123" s="116">
        <v>206264016</v>
      </c>
      <c r="X123" s="106" t="s">
        <v>253</v>
      </c>
      <c r="Y123" s="117" t="s">
        <v>251</v>
      </c>
      <c r="Z123" s="117">
        <v>35</v>
      </c>
      <c r="AA123" s="117">
        <v>8</v>
      </c>
      <c r="AB123" s="117">
        <v>0</v>
      </c>
      <c r="AC123" s="117">
        <v>2</v>
      </c>
      <c r="AD123" s="118">
        <v>0.77142857142857146</v>
      </c>
      <c r="AE123" s="117" t="s">
        <v>35</v>
      </c>
      <c r="AF123" s="117" t="s">
        <v>35</v>
      </c>
      <c r="AG123" s="106"/>
      <c r="AH123" s="106"/>
      <c r="AI123" s="106"/>
      <c r="AJ123" s="106"/>
      <c r="AK123" s="119"/>
      <c r="AL123" s="119"/>
    </row>
    <row r="124" spans="1:38" ht="66" x14ac:dyDescent="0.3">
      <c r="A124" s="105">
        <v>1112</v>
      </c>
      <c r="B124" s="106" t="s">
        <v>202</v>
      </c>
      <c r="C124" s="134" t="s">
        <v>43</v>
      </c>
      <c r="D124" s="135" t="s">
        <v>203</v>
      </c>
      <c r="E124" s="136" t="s">
        <v>616</v>
      </c>
      <c r="F124" s="137">
        <v>0</v>
      </c>
      <c r="G124" s="137">
        <v>1</v>
      </c>
      <c r="H124" s="137" t="s">
        <v>242</v>
      </c>
      <c r="I124" s="138">
        <v>45839</v>
      </c>
      <c r="J124" s="138">
        <v>46022</v>
      </c>
      <c r="K124" s="138">
        <v>45839</v>
      </c>
      <c r="L124" s="138">
        <v>46752</v>
      </c>
      <c r="M124" s="139">
        <v>45961</v>
      </c>
      <c r="N124" s="139">
        <v>46053</v>
      </c>
      <c r="O124" s="139">
        <v>46142</v>
      </c>
      <c r="P124" s="140"/>
      <c r="Q124" s="141" t="s">
        <v>617</v>
      </c>
      <c r="R124" s="141"/>
      <c r="S124" s="142" t="s">
        <v>618</v>
      </c>
      <c r="T124" s="143" t="s">
        <v>619</v>
      </c>
      <c r="U124" s="144">
        <v>55006711</v>
      </c>
      <c r="V124" s="144">
        <v>41429440</v>
      </c>
      <c r="W124" s="144">
        <v>13577271</v>
      </c>
      <c r="X124" s="136" t="s">
        <v>245</v>
      </c>
      <c r="Y124" s="145" t="s">
        <v>246</v>
      </c>
      <c r="Z124" s="145">
        <v>9</v>
      </c>
      <c r="AA124" s="145">
        <v>0</v>
      </c>
      <c r="AB124" s="117">
        <v>0</v>
      </c>
      <c r="AC124" s="145">
        <v>0</v>
      </c>
      <c r="AD124" s="146">
        <v>1</v>
      </c>
      <c r="AE124" s="145" t="s">
        <v>35</v>
      </c>
      <c r="AF124" s="145" t="s">
        <v>35</v>
      </c>
      <c r="AG124" s="136"/>
      <c r="AH124" s="136" t="s">
        <v>620</v>
      </c>
      <c r="AI124" s="106"/>
      <c r="AJ124" s="106"/>
      <c r="AK124" s="119"/>
      <c r="AL124" s="119"/>
    </row>
    <row r="125" spans="1:38" ht="66" x14ac:dyDescent="0.3">
      <c r="A125" s="105">
        <v>1113</v>
      </c>
      <c r="B125" s="106" t="s">
        <v>202</v>
      </c>
      <c r="C125" s="134" t="s">
        <v>43</v>
      </c>
      <c r="D125" s="135" t="s">
        <v>203</v>
      </c>
      <c r="E125" s="136" t="s">
        <v>204</v>
      </c>
      <c r="F125" s="137">
        <v>0</v>
      </c>
      <c r="G125" s="137">
        <v>1</v>
      </c>
      <c r="H125" s="137" t="s">
        <v>242</v>
      </c>
      <c r="I125" s="138">
        <v>45839</v>
      </c>
      <c r="J125" s="138">
        <v>46022</v>
      </c>
      <c r="K125" s="138">
        <v>45839</v>
      </c>
      <c r="L125" s="138">
        <v>46752</v>
      </c>
      <c r="M125" s="139">
        <v>45961</v>
      </c>
      <c r="N125" s="139">
        <v>46053</v>
      </c>
      <c r="O125" s="139">
        <v>46142</v>
      </c>
      <c r="P125" s="140"/>
      <c r="Q125" s="141" t="s">
        <v>205</v>
      </c>
      <c r="R125" s="141"/>
      <c r="S125" s="142" t="s">
        <v>297</v>
      </c>
      <c r="T125" s="143" t="s">
        <v>206</v>
      </c>
      <c r="U125" s="144">
        <v>95030240</v>
      </c>
      <c r="V125" s="144">
        <v>92800885</v>
      </c>
      <c r="W125" s="144">
        <v>2229355</v>
      </c>
      <c r="X125" s="136" t="s">
        <v>253</v>
      </c>
      <c r="Y125" s="145" t="s">
        <v>286</v>
      </c>
      <c r="Z125" s="145">
        <v>57</v>
      </c>
      <c r="AA125" s="145">
        <v>1</v>
      </c>
      <c r="AB125" s="117">
        <v>0</v>
      </c>
      <c r="AC125" s="145">
        <v>40</v>
      </c>
      <c r="AD125" s="146">
        <v>0.98245614035087714</v>
      </c>
      <c r="AE125" s="145" t="s">
        <v>35</v>
      </c>
      <c r="AF125" s="145" t="s">
        <v>35</v>
      </c>
      <c r="AG125" s="136"/>
      <c r="AH125" s="136" t="s">
        <v>620</v>
      </c>
      <c r="AI125" s="106"/>
      <c r="AJ125" s="106"/>
      <c r="AK125" s="119"/>
      <c r="AL125" s="119"/>
    </row>
    <row r="126" spans="1:38" ht="66" x14ac:dyDescent="0.3">
      <c r="A126" s="147">
        <v>1235</v>
      </c>
      <c r="B126" s="148" t="s">
        <v>202</v>
      </c>
      <c r="C126" s="149">
        <v>2025</v>
      </c>
      <c r="D126" s="150" t="s">
        <v>209</v>
      </c>
      <c r="E126" s="148" t="s">
        <v>621</v>
      </c>
      <c r="F126" s="151">
        <v>1</v>
      </c>
      <c r="G126" s="151">
        <v>1</v>
      </c>
      <c r="H126" s="151" t="s">
        <v>242</v>
      </c>
      <c r="I126" s="152">
        <v>45839</v>
      </c>
      <c r="J126" s="152">
        <v>46022</v>
      </c>
      <c r="K126" s="152">
        <v>45839</v>
      </c>
      <c r="L126" s="152">
        <v>46752</v>
      </c>
      <c r="M126" s="153">
        <v>45961</v>
      </c>
      <c r="N126" s="153">
        <v>46053</v>
      </c>
      <c r="O126" s="153">
        <v>46142</v>
      </c>
      <c r="P126" s="154"/>
      <c r="Q126" s="155" t="s">
        <v>106</v>
      </c>
      <c r="R126" s="155"/>
      <c r="S126" s="156" t="s">
        <v>499</v>
      </c>
      <c r="T126" s="157" t="s">
        <v>622</v>
      </c>
      <c r="U126" s="158">
        <v>22500000</v>
      </c>
      <c r="V126" s="158">
        <v>4600000</v>
      </c>
      <c r="W126" s="158">
        <v>17900000</v>
      </c>
      <c r="X126" s="148" t="s">
        <v>245</v>
      </c>
      <c r="Y126" s="159" t="s">
        <v>375</v>
      </c>
      <c r="Z126" s="159">
        <v>2</v>
      </c>
      <c r="AA126" s="159">
        <v>2</v>
      </c>
      <c r="AB126" s="117">
        <v>0</v>
      </c>
      <c r="AC126" s="159">
        <v>0</v>
      </c>
      <c r="AD126" s="160">
        <v>0</v>
      </c>
      <c r="AE126" s="159" t="s">
        <v>623</v>
      </c>
      <c r="AF126" s="159" t="s">
        <v>623</v>
      </c>
      <c r="AG126" s="148"/>
      <c r="AH126" s="161" t="s">
        <v>624</v>
      </c>
      <c r="AI126" s="106"/>
      <c r="AJ126" s="106"/>
      <c r="AK126" s="119"/>
      <c r="AL126" s="119"/>
    </row>
    <row r="127" spans="1:38" ht="66" x14ac:dyDescent="0.3">
      <c r="A127" s="147">
        <v>1236</v>
      </c>
      <c r="B127" s="148" t="s">
        <v>202</v>
      </c>
      <c r="C127" s="149">
        <v>2025</v>
      </c>
      <c r="D127" s="150" t="s">
        <v>209</v>
      </c>
      <c r="E127" s="148" t="s">
        <v>625</v>
      </c>
      <c r="F127" s="151">
        <v>1</v>
      </c>
      <c r="G127" s="151">
        <v>1</v>
      </c>
      <c r="H127" s="151" t="s">
        <v>242</v>
      </c>
      <c r="I127" s="152">
        <v>45839</v>
      </c>
      <c r="J127" s="152">
        <v>46022</v>
      </c>
      <c r="K127" s="152">
        <v>45839</v>
      </c>
      <c r="L127" s="152">
        <v>46752</v>
      </c>
      <c r="M127" s="153">
        <v>45961</v>
      </c>
      <c r="N127" s="153">
        <v>46053</v>
      </c>
      <c r="O127" s="153">
        <v>46142</v>
      </c>
      <c r="P127" s="154"/>
      <c r="Q127" s="155" t="s">
        <v>626</v>
      </c>
      <c r="R127" s="155"/>
      <c r="S127" s="156" t="s">
        <v>627</v>
      </c>
      <c r="T127" s="157" t="s">
        <v>628</v>
      </c>
      <c r="U127" s="158">
        <v>32150000</v>
      </c>
      <c r="V127" s="158">
        <v>24934619</v>
      </c>
      <c r="W127" s="158">
        <v>7215381</v>
      </c>
      <c r="X127" s="148" t="s">
        <v>245</v>
      </c>
      <c r="Y127" s="159" t="s">
        <v>251</v>
      </c>
      <c r="Z127" s="159">
        <v>36</v>
      </c>
      <c r="AA127" s="159">
        <v>0</v>
      </c>
      <c r="AB127" s="117">
        <v>0</v>
      </c>
      <c r="AC127" s="159">
        <v>8</v>
      </c>
      <c r="AD127" s="160">
        <v>1</v>
      </c>
      <c r="AE127" s="159" t="s">
        <v>623</v>
      </c>
      <c r="AF127" s="159" t="s">
        <v>623</v>
      </c>
      <c r="AG127" s="148"/>
      <c r="AH127" s="161" t="s">
        <v>624</v>
      </c>
      <c r="AI127" s="106"/>
      <c r="AJ127" s="106"/>
      <c r="AK127" s="119"/>
      <c r="AL127" s="119"/>
    </row>
    <row r="128" spans="1:38" ht="66" x14ac:dyDescent="0.3">
      <c r="A128" s="147">
        <v>1237</v>
      </c>
      <c r="B128" s="148" t="s">
        <v>202</v>
      </c>
      <c r="C128" s="149">
        <v>2025</v>
      </c>
      <c r="D128" s="150" t="s">
        <v>209</v>
      </c>
      <c r="E128" s="148" t="s">
        <v>629</v>
      </c>
      <c r="F128" s="151">
        <v>1</v>
      </c>
      <c r="G128" s="151">
        <v>1</v>
      </c>
      <c r="H128" s="151" t="s">
        <v>242</v>
      </c>
      <c r="I128" s="152">
        <v>45839</v>
      </c>
      <c r="J128" s="152">
        <v>46022</v>
      </c>
      <c r="K128" s="152">
        <v>45839</v>
      </c>
      <c r="L128" s="152">
        <v>46752</v>
      </c>
      <c r="M128" s="153">
        <v>45961</v>
      </c>
      <c r="N128" s="153">
        <v>46053</v>
      </c>
      <c r="O128" s="153">
        <v>46142</v>
      </c>
      <c r="P128" s="154"/>
      <c r="Q128" s="155" t="s">
        <v>630</v>
      </c>
      <c r="R128" s="155"/>
      <c r="S128" s="156" t="s">
        <v>631</v>
      </c>
      <c r="T128" s="157" t="s">
        <v>632</v>
      </c>
      <c r="U128" s="158">
        <v>22500000</v>
      </c>
      <c r="V128" s="158">
        <v>21105239</v>
      </c>
      <c r="W128" s="158">
        <v>1394761</v>
      </c>
      <c r="X128" s="148" t="s">
        <v>245</v>
      </c>
      <c r="Y128" s="159" t="s">
        <v>258</v>
      </c>
      <c r="Z128" s="159">
        <v>13</v>
      </c>
      <c r="AA128" s="159">
        <v>0</v>
      </c>
      <c r="AB128" s="117">
        <v>13</v>
      </c>
      <c r="AC128" s="159">
        <v>0</v>
      </c>
      <c r="AD128" s="160">
        <v>1</v>
      </c>
      <c r="AE128" s="159" t="s">
        <v>623</v>
      </c>
      <c r="AF128" s="159" t="s">
        <v>623</v>
      </c>
      <c r="AG128" s="148"/>
      <c r="AH128" s="161" t="s">
        <v>624</v>
      </c>
      <c r="AI128" s="106"/>
      <c r="AJ128" s="106"/>
      <c r="AK128" s="119"/>
      <c r="AL128" s="119"/>
    </row>
    <row r="129" spans="1:38" ht="66" x14ac:dyDescent="0.3">
      <c r="A129" s="147">
        <v>1238</v>
      </c>
      <c r="B129" s="148" t="s">
        <v>202</v>
      </c>
      <c r="C129" s="149">
        <v>2025</v>
      </c>
      <c r="D129" s="150" t="s">
        <v>209</v>
      </c>
      <c r="E129" s="148" t="s">
        <v>633</v>
      </c>
      <c r="F129" s="151">
        <v>1</v>
      </c>
      <c r="G129" s="151">
        <v>1</v>
      </c>
      <c r="H129" s="151" t="s">
        <v>242</v>
      </c>
      <c r="I129" s="152">
        <v>45839</v>
      </c>
      <c r="J129" s="152">
        <v>46022</v>
      </c>
      <c r="K129" s="152">
        <v>45839</v>
      </c>
      <c r="L129" s="152">
        <v>46752</v>
      </c>
      <c r="M129" s="153">
        <v>45961</v>
      </c>
      <c r="N129" s="153">
        <v>46053</v>
      </c>
      <c r="O129" s="153">
        <v>46142</v>
      </c>
      <c r="P129" s="154"/>
      <c r="Q129" s="155" t="s">
        <v>187</v>
      </c>
      <c r="R129" s="155"/>
      <c r="S129" s="156" t="s">
        <v>593</v>
      </c>
      <c r="T129" s="157" t="s">
        <v>634</v>
      </c>
      <c r="U129" s="158">
        <v>80005106</v>
      </c>
      <c r="V129" s="158">
        <v>17875483</v>
      </c>
      <c r="W129" s="158">
        <v>62129623</v>
      </c>
      <c r="X129" s="148" t="s">
        <v>245</v>
      </c>
      <c r="Y129" s="159" t="s">
        <v>258</v>
      </c>
      <c r="Z129" s="159">
        <v>6</v>
      </c>
      <c r="AA129" s="159">
        <v>0</v>
      </c>
      <c r="AB129" s="117">
        <v>6</v>
      </c>
      <c r="AC129" s="159">
        <v>0</v>
      </c>
      <c r="AD129" s="160">
        <v>1</v>
      </c>
      <c r="AE129" s="159" t="s">
        <v>623</v>
      </c>
      <c r="AF129" s="159" t="s">
        <v>623</v>
      </c>
      <c r="AG129" s="148"/>
      <c r="AH129" s="161" t="s">
        <v>624</v>
      </c>
      <c r="AI129" s="106"/>
      <c r="AJ129" s="106"/>
      <c r="AK129" s="119"/>
      <c r="AL129" s="119"/>
    </row>
    <row r="130" spans="1:38" ht="49.5" x14ac:dyDescent="0.3">
      <c r="A130" s="147">
        <v>1239</v>
      </c>
      <c r="B130" s="148" t="s">
        <v>202</v>
      </c>
      <c r="C130" s="149">
        <v>2025</v>
      </c>
      <c r="D130" s="150" t="s">
        <v>209</v>
      </c>
      <c r="E130" s="148" t="s">
        <v>635</v>
      </c>
      <c r="F130" s="151">
        <v>1</v>
      </c>
      <c r="G130" s="151">
        <v>1</v>
      </c>
      <c r="H130" s="151" t="s">
        <v>242</v>
      </c>
      <c r="I130" s="152">
        <v>45839</v>
      </c>
      <c r="J130" s="152">
        <v>46022</v>
      </c>
      <c r="K130" s="152">
        <v>45839</v>
      </c>
      <c r="L130" s="152">
        <v>46752</v>
      </c>
      <c r="M130" s="153">
        <v>45961</v>
      </c>
      <c r="N130" s="153">
        <v>46053</v>
      </c>
      <c r="O130" s="153">
        <v>46142</v>
      </c>
      <c r="P130" s="154"/>
      <c r="Q130" s="155" t="s">
        <v>211</v>
      </c>
      <c r="R130" s="155"/>
      <c r="S130" s="156" t="s">
        <v>636</v>
      </c>
      <c r="T130" s="157" t="s">
        <v>212</v>
      </c>
      <c r="U130" s="158">
        <v>431000000</v>
      </c>
      <c r="V130" s="158">
        <v>197779755</v>
      </c>
      <c r="W130" s="158">
        <v>233220245</v>
      </c>
      <c r="X130" s="148" t="s">
        <v>253</v>
      </c>
      <c r="Y130" s="159" t="s">
        <v>286</v>
      </c>
      <c r="Z130" s="159">
        <v>80</v>
      </c>
      <c r="AA130" s="159">
        <v>1</v>
      </c>
      <c r="AB130" s="117">
        <v>0</v>
      </c>
      <c r="AC130" s="159">
        <v>4</v>
      </c>
      <c r="AD130" s="160">
        <v>0.98750000000000004</v>
      </c>
      <c r="AE130" s="159" t="s">
        <v>623</v>
      </c>
      <c r="AF130" s="159" t="s">
        <v>623</v>
      </c>
      <c r="AG130" s="148"/>
      <c r="AH130" s="161" t="s">
        <v>624</v>
      </c>
      <c r="AI130" s="106"/>
      <c r="AJ130" s="106"/>
      <c r="AK130" s="119"/>
      <c r="AL130" s="119"/>
    </row>
    <row r="131" spans="1:38" ht="49.5" x14ac:dyDescent="0.3">
      <c r="A131" s="147">
        <v>1240</v>
      </c>
      <c r="B131" s="148" t="s">
        <v>202</v>
      </c>
      <c r="C131" s="149">
        <v>2025</v>
      </c>
      <c r="D131" s="150" t="s">
        <v>209</v>
      </c>
      <c r="E131" s="148" t="s">
        <v>637</v>
      </c>
      <c r="F131" s="151">
        <v>1</v>
      </c>
      <c r="G131" s="151">
        <v>1</v>
      </c>
      <c r="H131" s="151" t="s">
        <v>242</v>
      </c>
      <c r="I131" s="152">
        <v>45839</v>
      </c>
      <c r="J131" s="152">
        <v>46022</v>
      </c>
      <c r="K131" s="152">
        <v>45839</v>
      </c>
      <c r="L131" s="152">
        <v>46752</v>
      </c>
      <c r="M131" s="153">
        <v>45961</v>
      </c>
      <c r="N131" s="153">
        <v>46053</v>
      </c>
      <c r="O131" s="153">
        <v>46142</v>
      </c>
      <c r="P131" s="154"/>
      <c r="Q131" s="155" t="s">
        <v>128</v>
      </c>
      <c r="R131" s="155"/>
      <c r="S131" s="156" t="s">
        <v>531</v>
      </c>
      <c r="T131" s="157" t="s">
        <v>638</v>
      </c>
      <c r="U131" s="158">
        <v>22500000</v>
      </c>
      <c r="V131" s="158">
        <v>17859447</v>
      </c>
      <c r="W131" s="158">
        <v>4640553</v>
      </c>
      <c r="X131" s="148" t="s">
        <v>245</v>
      </c>
      <c r="Y131" s="159" t="s">
        <v>251</v>
      </c>
      <c r="Z131" s="159">
        <v>25</v>
      </c>
      <c r="AA131" s="159">
        <v>0</v>
      </c>
      <c r="AB131" s="117">
        <v>0</v>
      </c>
      <c r="AC131" s="159">
        <v>25</v>
      </c>
      <c r="AD131" s="160">
        <v>1</v>
      </c>
      <c r="AE131" s="159" t="s">
        <v>623</v>
      </c>
      <c r="AF131" s="159" t="s">
        <v>623</v>
      </c>
      <c r="AG131" s="148"/>
      <c r="AH131" s="161" t="s">
        <v>624</v>
      </c>
      <c r="AI131" s="106"/>
      <c r="AJ131" s="106"/>
      <c r="AK131" s="119"/>
      <c r="AL131" s="119"/>
    </row>
    <row r="132" spans="1:38" ht="66" x14ac:dyDescent="0.3">
      <c r="A132" s="147">
        <v>1241</v>
      </c>
      <c r="B132" s="148" t="s">
        <v>202</v>
      </c>
      <c r="C132" s="149">
        <v>2025</v>
      </c>
      <c r="D132" s="150" t="s">
        <v>209</v>
      </c>
      <c r="E132" s="148" t="s">
        <v>639</v>
      </c>
      <c r="F132" s="151">
        <v>1</v>
      </c>
      <c r="G132" s="151">
        <v>1</v>
      </c>
      <c r="H132" s="151" t="s">
        <v>242</v>
      </c>
      <c r="I132" s="152">
        <v>45839</v>
      </c>
      <c r="J132" s="152">
        <v>46022</v>
      </c>
      <c r="K132" s="152">
        <v>45839</v>
      </c>
      <c r="L132" s="152">
        <v>46752</v>
      </c>
      <c r="M132" s="153">
        <v>45961</v>
      </c>
      <c r="N132" s="153">
        <v>46053</v>
      </c>
      <c r="O132" s="153">
        <v>46142</v>
      </c>
      <c r="P132" s="154"/>
      <c r="Q132" s="155" t="s">
        <v>568</v>
      </c>
      <c r="R132" s="155"/>
      <c r="S132" s="156" t="s">
        <v>569</v>
      </c>
      <c r="T132" s="157" t="s">
        <v>640</v>
      </c>
      <c r="U132" s="158">
        <v>22504680</v>
      </c>
      <c r="V132" s="158">
        <v>20416000</v>
      </c>
      <c r="W132" s="158">
        <v>2088680</v>
      </c>
      <c r="X132" s="148" t="s">
        <v>303</v>
      </c>
      <c r="Y132" s="159" t="s">
        <v>375</v>
      </c>
      <c r="Z132" s="159">
        <v>5</v>
      </c>
      <c r="AA132" s="159">
        <v>5</v>
      </c>
      <c r="AB132" s="117">
        <v>0</v>
      </c>
      <c r="AC132" s="159">
        <v>0</v>
      </c>
      <c r="AD132" s="160">
        <v>0</v>
      </c>
      <c r="AE132" s="159" t="s">
        <v>623</v>
      </c>
      <c r="AF132" s="159" t="s">
        <v>623</v>
      </c>
      <c r="AG132" s="148"/>
      <c r="AH132" s="161" t="s">
        <v>624</v>
      </c>
      <c r="AI132" s="106"/>
      <c r="AJ132" s="106"/>
      <c r="AK132" s="119"/>
      <c r="AL132" s="119"/>
    </row>
    <row r="133" spans="1:38" ht="66" x14ac:dyDescent="0.3">
      <c r="A133" s="147">
        <v>1242</v>
      </c>
      <c r="B133" s="148" t="s">
        <v>202</v>
      </c>
      <c r="C133" s="149">
        <v>2025</v>
      </c>
      <c r="D133" s="150" t="s">
        <v>209</v>
      </c>
      <c r="E133" s="148" t="s">
        <v>641</v>
      </c>
      <c r="F133" s="151">
        <v>1</v>
      </c>
      <c r="G133" s="151">
        <v>1</v>
      </c>
      <c r="H133" s="151" t="s">
        <v>242</v>
      </c>
      <c r="I133" s="152">
        <v>45839</v>
      </c>
      <c r="J133" s="152">
        <v>46022</v>
      </c>
      <c r="K133" s="152">
        <v>45839</v>
      </c>
      <c r="L133" s="152">
        <v>46752</v>
      </c>
      <c r="M133" s="153">
        <v>45961</v>
      </c>
      <c r="N133" s="153">
        <v>46053</v>
      </c>
      <c r="O133" s="153">
        <v>46142</v>
      </c>
      <c r="P133" s="154"/>
      <c r="Q133" s="155" t="s">
        <v>642</v>
      </c>
      <c r="R133" s="155"/>
      <c r="S133" s="156" t="s">
        <v>643</v>
      </c>
      <c r="T133" s="157" t="s">
        <v>644</v>
      </c>
      <c r="U133" s="158">
        <v>22500000</v>
      </c>
      <c r="V133" s="158">
        <v>251000</v>
      </c>
      <c r="W133" s="158">
        <v>22249000</v>
      </c>
      <c r="X133" s="148" t="s">
        <v>245</v>
      </c>
      <c r="Y133" s="159" t="s">
        <v>375</v>
      </c>
      <c r="Z133" s="159">
        <v>3</v>
      </c>
      <c r="AA133" s="159">
        <v>3</v>
      </c>
      <c r="AB133" s="117">
        <v>0</v>
      </c>
      <c r="AC133" s="159">
        <v>0</v>
      </c>
      <c r="AD133" s="160">
        <v>0</v>
      </c>
      <c r="AE133" s="159" t="s">
        <v>623</v>
      </c>
      <c r="AF133" s="159" t="s">
        <v>623</v>
      </c>
      <c r="AG133" s="148"/>
      <c r="AH133" s="161" t="s">
        <v>624</v>
      </c>
      <c r="AI133" s="106"/>
      <c r="AJ133" s="106"/>
      <c r="AK133" s="119"/>
      <c r="AL133" s="119"/>
    </row>
    <row r="134" spans="1:38" ht="82.5" x14ac:dyDescent="0.3">
      <c r="A134" s="147">
        <v>1243</v>
      </c>
      <c r="B134" s="148" t="s">
        <v>202</v>
      </c>
      <c r="C134" s="149">
        <v>2025</v>
      </c>
      <c r="D134" s="150" t="s">
        <v>209</v>
      </c>
      <c r="E134" s="148" t="s">
        <v>645</v>
      </c>
      <c r="F134" s="151">
        <v>1</v>
      </c>
      <c r="G134" s="151">
        <v>1</v>
      </c>
      <c r="H134" s="151" t="s">
        <v>242</v>
      </c>
      <c r="I134" s="152">
        <v>45839</v>
      </c>
      <c r="J134" s="152">
        <v>46022</v>
      </c>
      <c r="K134" s="152">
        <v>45839</v>
      </c>
      <c r="L134" s="152">
        <v>46752</v>
      </c>
      <c r="M134" s="153">
        <v>45961</v>
      </c>
      <c r="N134" s="153">
        <v>46053</v>
      </c>
      <c r="O134" s="153">
        <v>46142</v>
      </c>
      <c r="P134" s="154"/>
      <c r="Q134" s="155" t="s">
        <v>646</v>
      </c>
      <c r="R134" s="155"/>
      <c r="S134" s="156" t="s">
        <v>647</v>
      </c>
      <c r="T134" s="157" t="s">
        <v>648</v>
      </c>
      <c r="U134" s="158">
        <v>7500000</v>
      </c>
      <c r="V134" s="158">
        <v>6126835</v>
      </c>
      <c r="W134" s="158">
        <v>1373165</v>
      </c>
      <c r="X134" s="148" t="s">
        <v>245</v>
      </c>
      <c r="Y134" s="159" t="s">
        <v>258</v>
      </c>
      <c r="Z134" s="159">
        <v>18</v>
      </c>
      <c r="AA134" s="159">
        <v>1</v>
      </c>
      <c r="AB134" s="117">
        <v>8</v>
      </c>
      <c r="AC134" s="159">
        <v>0</v>
      </c>
      <c r="AD134" s="160">
        <v>0.94444444444444442</v>
      </c>
      <c r="AE134" s="159" t="s">
        <v>623</v>
      </c>
      <c r="AF134" s="159" t="s">
        <v>623</v>
      </c>
      <c r="AG134" s="148"/>
      <c r="AH134" s="161" t="s">
        <v>624</v>
      </c>
      <c r="AI134" s="106"/>
      <c r="AJ134" s="106"/>
      <c r="AK134" s="119"/>
      <c r="AL134" s="119"/>
    </row>
    <row r="135" spans="1:38" ht="66" x14ac:dyDescent="0.3">
      <c r="A135" s="147">
        <v>1244</v>
      </c>
      <c r="B135" s="148" t="s">
        <v>202</v>
      </c>
      <c r="C135" s="149">
        <v>2025</v>
      </c>
      <c r="D135" s="150" t="s">
        <v>209</v>
      </c>
      <c r="E135" s="148" t="s">
        <v>649</v>
      </c>
      <c r="F135" s="151">
        <v>1</v>
      </c>
      <c r="G135" s="151">
        <v>1</v>
      </c>
      <c r="H135" s="151" t="s">
        <v>242</v>
      </c>
      <c r="I135" s="152">
        <v>45839</v>
      </c>
      <c r="J135" s="152">
        <v>46022</v>
      </c>
      <c r="K135" s="152">
        <v>45839</v>
      </c>
      <c r="L135" s="152">
        <v>46752</v>
      </c>
      <c r="M135" s="153">
        <v>45961</v>
      </c>
      <c r="N135" s="153">
        <v>46053</v>
      </c>
      <c r="O135" s="153">
        <v>46142</v>
      </c>
      <c r="P135" s="154"/>
      <c r="Q135" s="155" t="s">
        <v>205</v>
      </c>
      <c r="R135" s="155"/>
      <c r="S135" s="156" t="s">
        <v>297</v>
      </c>
      <c r="T135" s="157" t="s">
        <v>650</v>
      </c>
      <c r="U135" s="158">
        <v>157500000</v>
      </c>
      <c r="V135" s="158">
        <v>65318235</v>
      </c>
      <c r="W135" s="158">
        <v>92181765</v>
      </c>
      <c r="X135" s="148" t="s">
        <v>245</v>
      </c>
      <c r="Y135" s="159" t="s">
        <v>286</v>
      </c>
      <c r="Z135" s="159">
        <v>57</v>
      </c>
      <c r="AA135" s="159">
        <v>2</v>
      </c>
      <c r="AB135" s="117">
        <v>0</v>
      </c>
      <c r="AC135" s="159">
        <v>42</v>
      </c>
      <c r="AD135" s="160">
        <v>0.96491228070175439</v>
      </c>
      <c r="AE135" s="159" t="s">
        <v>623</v>
      </c>
      <c r="AF135" s="159" t="s">
        <v>623</v>
      </c>
      <c r="AG135" s="148"/>
      <c r="AH135" s="161" t="s">
        <v>624</v>
      </c>
      <c r="AI135" s="106"/>
      <c r="AJ135" s="106"/>
      <c r="AK135" s="119"/>
      <c r="AL135" s="119"/>
    </row>
    <row r="136" spans="1:38" ht="66" x14ac:dyDescent="0.3">
      <c r="A136" s="147">
        <v>1245</v>
      </c>
      <c r="B136" s="148" t="s">
        <v>202</v>
      </c>
      <c r="C136" s="149">
        <v>2025</v>
      </c>
      <c r="D136" s="150" t="s">
        <v>209</v>
      </c>
      <c r="E136" s="148" t="s">
        <v>651</v>
      </c>
      <c r="F136" s="151">
        <v>1</v>
      </c>
      <c r="G136" s="151">
        <v>1</v>
      </c>
      <c r="H136" s="151" t="s">
        <v>242</v>
      </c>
      <c r="I136" s="152">
        <v>45839</v>
      </c>
      <c r="J136" s="152">
        <v>46022</v>
      </c>
      <c r="K136" s="152">
        <v>45839</v>
      </c>
      <c r="L136" s="152">
        <v>46752</v>
      </c>
      <c r="M136" s="153">
        <v>45961</v>
      </c>
      <c r="N136" s="153">
        <v>46053</v>
      </c>
      <c r="O136" s="153">
        <v>46142</v>
      </c>
      <c r="P136" s="154"/>
      <c r="Q136" s="155" t="s">
        <v>182</v>
      </c>
      <c r="R136" s="155"/>
      <c r="S136" s="156" t="s">
        <v>521</v>
      </c>
      <c r="T136" s="157" t="s">
        <v>652</v>
      </c>
      <c r="U136" s="158">
        <v>22503344</v>
      </c>
      <c r="V136" s="158">
        <v>21206304</v>
      </c>
      <c r="W136" s="158">
        <v>1297040</v>
      </c>
      <c r="X136" s="148" t="s">
        <v>245</v>
      </c>
      <c r="Y136" s="159" t="s">
        <v>286</v>
      </c>
      <c r="Z136" s="159">
        <v>31</v>
      </c>
      <c r="AA136" s="159">
        <v>0</v>
      </c>
      <c r="AB136" s="117">
        <v>0</v>
      </c>
      <c r="AC136" s="159">
        <v>0</v>
      </c>
      <c r="AD136" s="160">
        <v>1</v>
      </c>
      <c r="AE136" s="159" t="s">
        <v>623</v>
      </c>
      <c r="AF136" s="159" t="s">
        <v>623</v>
      </c>
      <c r="AG136" s="148"/>
      <c r="AH136" s="161" t="s">
        <v>624</v>
      </c>
      <c r="AI136" s="106"/>
      <c r="AJ136" s="106"/>
      <c r="AK136" s="119"/>
      <c r="AL136" s="119"/>
    </row>
    <row r="137" spans="1:38" ht="49.5" x14ac:dyDescent="0.3">
      <c r="A137" s="147">
        <v>1246</v>
      </c>
      <c r="B137" s="148" t="s">
        <v>202</v>
      </c>
      <c r="C137" s="149">
        <v>2025</v>
      </c>
      <c r="D137" s="150" t="s">
        <v>209</v>
      </c>
      <c r="E137" s="148" t="s">
        <v>653</v>
      </c>
      <c r="F137" s="151">
        <v>1</v>
      </c>
      <c r="G137" s="151">
        <v>1</v>
      </c>
      <c r="H137" s="151" t="s">
        <v>242</v>
      </c>
      <c r="I137" s="152">
        <v>45839</v>
      </c>
      <c r="J137" s="152">
        <v>46022</v>
      </c>
      <c r="K137" s="152">
        <v>45839</v>
      </c>
      <c r="L137" s="152">
        <v>46752</v>
      </c>
      <c r="M137" s="153">
        <v>45961</v>
      </c>
      <c r="N137" s="153">
        <v>46053</v>
      </c>
      <c r="O137" s="153">
        <v>46142</v>
      </c>
      <c r="P137" s="154"/>
      <c r="Q137" s="155" t="s">
        <v>654</v>
      </c>
      <c r="R137" s="155"/>
      <c r="S137" s="156" t="s">
        <v>655</v>
      </c>
      <c r="T137" s="157" t="s">
        <v>656</v>
      </c>
      <c r="U137" s="158">
        <v>10710000</v>
      </c>
      <c r="V137" s="158">
        <v>8343001</v>
      </c>
      <c r="W137" s="158">
        <v>2366999</v>
      </c>
      <c r="X137" s="148" t="s">
        <v>245</v>
      </c>
      <c r="Y137" s="159" t="s">
        <v>258</v>
      </c>
      <c r="Z137" s="159">
        <v>25</v>
      </c>
      <c r="AA137" s="159">
        <v>5</v>
      </c>
      <c r="AB137" s="117">
        <v>1</v>
      </c>
      <c r="AC137" s="159">
        <v>0</v>
      </c>
      <c r="AD137" s="160">
        <v>0.8</v>
      </c>
      <c r="AE137" s="159" t="s">
        <v>623</v>
      </c>
      <c r="AF137" s="159" t="s">
        <v>623</v>
      </c>
      <c r="AG137" s="148"/>
      <c r="AH137" s="161" t="s">
        <v>624</v>
      </c>
      <c r="AI137" s="106"/>
      <c r="AJ137" s="106"/>
      <c r="AK137" s="119"/>
      <c r="AL137" s="119"/>
    </row>
    <row r="138" spans="1:38" ht="66" x14ac:dyDescent="0.3">
      <c r="A138" s="147">
        <v>1247</v>
      </c>
      <c r="B138" s="148" t="s">
        <v>202</v>
      </c>
      <c r="C138" s="149">
        <v>2025</v>
      </c>
      <c r="D138" s="150" t="s">
        <v>209</v>
      </c>
      <c r="E138" s="148" t="s">
        <v>657</v>
      </c>
      <c r="F138" s="151">
        <v>1</v>
      </c>
      <c r="G138" s="151">
        <v>1</v>
      </c>
      <c r="H138" s="151" t="s">
        <v>242</v>
      </c>
      <c r="I138" s="152">
        <v>45839</v>
      </c>
      <c r="J138" s="152">
        <v>46022</v>
      </c>
      <c r="K138" s="152">
        <v>45839</v>
      </c>
      <c r="L138" s="152">
        <v>46752</v>
      </c>
      <c r="M138" s="153">
        <v>45961</v>
      </c>
      <c r="N138" s="153">
        <v>46053</v>
      </c>
      <c r="O138" s="153">
        <v>46142</v>
      </c>
      <c r="P138" s="154"/>
      <c r="Q138" s="155" t="s">
        <v>658</v>
      </c>
      <c r="R138" s="155"/>
      <c r="S138" s="156" t="s">
        <v>659</v>
      </c>
      <c r="T138" s="157" t="s">
        <v>660</v>
      </c>
      <c r="U138" s="158">
        <v>22503100</v>
      </c>
      <c r="V138" s="158">
        <v>9583550</v>
      </c>
      <c r="W138" s="158">
        <v>12919550</v>
      </c>
      <c r="X138" s="148" t="s">
        <v>245</v>
      </c>
      <c r="Y138" s="159" t="s">
        <v>286</v>
      </c>
      <c r="Z138" s="159">
        <v>11</v>
      </c>
      <c r="AA138" s="159">
        <v>12</v>
      </c>
      <c r="AB138" s="117">
        <v>0</v>
      </c>
      <c r="AC138" s="159">
        <v>0</v>
      </c>
      <c r="AD138" s="160">
        <v>0</v>
      </c>
      <c r="AE138" s="159" t="s">
        <v>623</v>
      </c>
      <c r="AF138" s="159" t="s">
        <v>623</v>
      </c>
      <c r="AG138" s="148"/>
      <c r="AH138" s="161" t="s">
        <v>624</v>
      </c>
      <c r="AI138" s="106"/>
      <c r="AJ138" s="106"/>
      <c r="AK138" s="119"/>
      <c r="AL138" s="119"/>
    </row>
    <row r="139" spans="1:38" ht="82.5" x14ac:dyDescent="0.3">
      <c r="A139" s="147">
        <v>1248</v>
      </c>
      <c r="B139" s="148" t="s">
        <v>202</v>
      </c>
      <c r="C139" s="149">
        <v>2025</v>
      </c>
      <c r="D139" s="150" t="s">
        <v>209</v>
      </c>
      <c r="E139" s="148" t="s">
        <v>661</v>
      </c>
      <c r="F139" s="151">
        <v>1</v>
      </c>
      <c r="G139" s="151">
        <v>1</v>
      </c>
      <c r="H139" s="151" t="s">
        <v>242</v>
      </c>
      <c r="I139" s="152">
        <v>45839</v>
      </c>
      <c r="J139" s="152">
        <v>46022</v>
      </c>
      <c r="K139" s="152">
        <v>45839</v>
      </c>
      <c r="L139" s="152">
        <v>46752</v>
      </c>
      <c r="M139" s="153">
        <v>45961</v>
      </c>
      <c r="N139" s="153">
        <v>46053</v>
      </c>
      <c r="O139" s="153">
        <v>46142</v>
      </c>
      <c r="P139" s="154"/>
      <c r="Q139" s="155" t="s">
        <v>662</v>
      </c>
      <c r="R139" s="155"/>
      <c r="S139" s="156" t="s">
        <v>663</v>
      </c>
      <c r="T139" s="157" t="s">
        <v>664</v>
      </c>
      <c r="U139" s="158">
        <v>32218689</v>
      </c>
      <c r="V139" s="158">
        <v>22685000</v>
      </c>
      <c r="W139" s="158">
        <v>9533689</v>
      </c>
      <c r="X139" s="148" t="s">
        <v>245</v>
      </c>
      <c r="Y139" s="159" t="s">
        <v>251</v>
      </c>
      <c r="Z139" s="159">
        <v>71</v>
      </c>
      <c r="AA139" s="159">
        <v>0</v>
      </c>
      <c r="AB139" s="117">
        <v>0</v>
      </c>
      <c r="AC139" s="159">
        <v>71</v>
      </c>
      <c r="AD139" s="160">
        <v>1</v>
      </c>
      <c r="AE139" s="159" t="s">
        <v>623</v>
      </c>
      <c r="AF139" s="159" t="s">
        <v>623</v>
      </c>
      <c r="AG139" s="148"/>
      <c r="AH139" s="161" t="s">
        <v>624</v>
      </c>
      <c r="AI139" s="106"/>
      <c r="AJ139" s="106"/>
      <c r="AK139" s="119"/>
      <c r="AL139" s="119"/>
    </row>
  </sheetData>
  <phoneticPr fontId="3" type="noConversion"/>
  <conditionalFormatting sqref="X1:X139">
    <cfRule type="containsText" dxfId="1" priority="1" operator="containsText" text="위탁">
      <formula>NOT(ISERROR(SEARCH("위탁",X1)))</formula>
    </cfRule>
    <cfRule type="containsText" dxfId="0" priority="2" operator="containsText" text="S등급">
      <formula>NOT(ISERROR(SEARCH("S등급",X1)))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0910-F54B-4E88-A75F-8F15C45886B5}">
  <dimension ref="A1:AB40"/>
  <sheetViews>
    <sheetView workbookViewId="0">
      <selection sqref="A1:AB40"/>
    </sheetView>
  </sheetViews>
  <sheetFormatPr defaultRowHeight="16.5" x14ac:dyDescent="0.3"/>
  <sheetData>
    <row r="1" spans="1:28" ht="41.25" thickTop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9" t="s">
        <v>24</v>
      </c>
      <c r="Z1" s="10" t="s">
        <v>25</v>
      </c>
      <c r="AA1" s="11" t="s">
        <v>26</v>
      </c>
      <c r="AB1" s="12" t="s">
        <v>27</v>
      </c>
    </row>
    <row r="2" spans="1:28" x14ac:dyDescent="0.3">
      <c r="A2" s="13">
        <v>3</v>
      </c>
      <c r="B2" s="14" t="s">
        <v>28</v>
      </c>
      <c r="C2" s="15">
        <v>2025</v>
      </c>
      <c r="D2" s="14" t="s">
        <v>29</v>
      </c>
      <c r="E2" s="14" t="s">
        <v>30</v>
      </c>
      <c r="F2" s="15">
        <v>1</v>
      </c>
      <c r="G2" s="15">
        <v>1</v>
      </c>
      <c r="H2" s="16">
        <v>45748</v>
      </c>
      <c r="I2" s="16">
        <v>46022</v>
      </c>
      <c r="J2" s="17">
        <v>46112</v>
      </c>
      <c r="K2" s="14" t="s">
        <v>31</v>
      </c>
      <c r="L2" s="14" t="s">
        <v>32</v>
      </c>
      <c r="M2" s="14"/>
      <c r="N2" s="14"/>
      <c r="O2" s="18">
        <v>2445668000</v>
      </c>
      <c r="P2" s="19" t="s">
        <v>33</v>
      </c>
      <c r="Q2" s="20" t="s">
        <v>34</v>
      </c>
      <c r="R2" s="15" t="s">
        <v>35</v>
      </c>
      <c r="S2" s="15" t="s">
        <v>35</v>
      </c>
      <c r="T2" s="14"/>
      <c r="U2" s="14"/>
      <c r="V2" s="14"/>
      <c r="W2" s="14"/>
      <c r="X2" s="21"/>
      <c r="Y2" s="14"/>
      <c r="Z2" s="22" t="s">
        <v>36</v>
      </c>
      <c r="AA2" s="22" t="s">
        <v>35</v>
      </c>
      <c r="AB2" s="22"/>
    </row>
    <row r="3" spans="1:28" x14ac:dyDescent="0.3">
      <c r="A3" s="13">
        <v>44</v>
      </c>
      <c r="B3" s="14" t="s">
        <v>28</v>
      </c>
      <c r="C3" s="15">
        <v>2025</v>
      </c>
      <c r="D3" s="14" t="s">
        <v>37</v>
      </c>
      <c r="E3" s="14" t="s">
        <v>38</v>
      </c>
      <c r="F3" s="15">
        <v>4</v>
      </c>
      <c r="G3" s="15">
        <v>1</v>
      </c>
      <c r="H3" s="16">
        <v>45658</v>
      </c>
      <c r="I3" s="16">
        <v>46022</v>
      </c>
      <c r="J3" s="17">
        <v>46173</v>
      </c>
      <c r="K3" s="14" t="s">
        <v>39</v>
      </c>
      <c r="L3" s="14" t="s">
        <v>40</v>
      </c>
      <c r="M3" s="14"/>
      <c r="N3" s="14"/>
      <c r="O3" s="18">
        <v>6260178000</v>
      </c>
      <c r="P3" s="19">
        <v>26</v>
      </c>
      <c r="Q3" s="23" t="s">
        <v>41</v>
      </c>
      <c r="R3" s="15" t="s">
        <v>35</v>
      </c>
      <c r="S3" s="15" t="s">
        <v>35</v>
      </c>
      <c r="T3" s="14"/>
      <c r="U3" s="14"/>
      <c r="V3" s="14"/>
      <c r="W3" s="14"/>
      <c r="X3" s="21"/>
      <c r="Y3" s="14"/>
      <c r="Z3" s="22" t="s">
        <v>36</v>
      </c>
      <c r="AA3" s="22" t="s">
        <v>35</v>
      </c>
      <c r="AB3" s="22"/>
    </row>
    <row r="4" spans="1:28" x14ac:dyDescent="0.3">
      <c r="A4" s="24">
        <v>7</v>
      </c>
      <c r="B4" s="25" t="s">
        <v>42</v>
      </c>
      <c r="C4" s="26" t="s">
        <v>43</v>
      </c>
      <c r="D4" s="25" t="s">
        <v>44</v>
      </c>
      <c r="E4" s="25" t="s">
        <v>45</v>
      </c>
      <c r="F4" s="26">
        <v>1</v>
      </c>
      <c r="G4" s="26">
        <v>1</v>
      </c>
      <c r="H4" s="27">
        <v>45748</v>
      </c>
      <c r="I4" s="27">
        <v>46022</v>
      </c>
      <c r="J4" s="28">
        <v>46053</v>
      </c>
      <c r="K4" s="25" t="s">
        <v>46</v>
      </c>
      <c r="L4" s="25" t="s">
        <v>47</v>
      </c>
      <c r="M4" s="25"/>
      <c r="N4" s="25"/>
      <c r="O4" s="29">
        <v>600000000</v>
      </c>
      <c r="P4" s="30">
        <v>5</v>
      </c>
      <c r="Q4" s="31" t="s">
        <v>34</v>
      </c>
      <c r="R4" s="26" t="s">
        <v>35</v>
      </c>
      <c r="S4" s="26" t="s">
        <v>35</v>
      </c>
      <c r="T4" s="25"/>
      <c r="U4" s="25"/>
      <c r="V4" s="25"/>
      <c r="W4" s="25"/>
      <c r="X4" s="32"/>
      <c r="Y4" s="25"/>
      <c r="Z4" s="22" t="s">
        <v>36</v>
      </c>
      <c r="AA4" s="22" t="s">
        <v>35</v>
      </c>
      <c r="AB4" s="22"/>
    </row>
    <row r="5" spans="1:28" x14ac:dyDescent="0.3">
      <c r="A5" s="24">
        <v>24</v>
      </c>
      <c r="B5" s="25" t="s">
        <v>42</v>
      </c>
      <c r="C5" s="26" t="s">
        <v>43</v>
      </c>
      <c r="D5" s="25" t="s">
        <v>48</v>
      </c>
      <c r="E5" s="25" t="s">
        <v>49</v>
      </c>
      <c r="F5" s="26">
        <v>1</v>
      </c>
      <c r="G5" s="26">
        <v>1</v>
      </c>
      <c r="H5" s="27">
        <v>45748</v>
      </c>
      <c r="I5" s="27">
        <v>46022</v>
      </c>
      <c r="J5" s="28">
        <v>46053</v>
      </c>
      <c r="K5" s="25" t="s">
        <v>50</v>
      </c>
      <c r="L5" s="25" t="s">
        <v>51</v>
      </c>
      <c r="M5" s="25"/>
      <c r="N5" s="25"/>
      <c r="O5" s="29">
        <v>460200000</v>
      </c>
      <c r="P5" s="30">
        <v>3</v>
      </c>
      <c r="Q5" s="31" t="s">
        <v>34</v>
      </c>
      <c r="R5" s="26" t="s">
        <v>35</v>
      </c>
      <c r="S5" s="26" t="s">
        <v>35</v>
      </c>
      <c r="T5" s="25"/>
      <c r="U5" s="25"/>
      <c r="V5" s="25"/>
      <c r="W5" s="25"/>
      <c r="X5" s="32"/>
      <c r="Y5" s="25"/>
      <c r="Z5" s="22" t="s">
        <v>36</v>
      </c>
      <c r="AA5" s="22" t="s">
        <v>35</v>
      </c>
      <c r="AB5" s="22"/>
    </row>
    <row r="6" spans="1:28" x14ac:dyDescent="0.3">
      <c r="A6" s="24">
        <v>50</v>
      </c>
      <c r="B6" s="25" t="s">
        <v>42</v>
      </c>
      <c r="C6" s="26" t="s">
        <v>43</v>
      </c>
      <c r="D6" s="25" t="s">
        <v>52</v>
      </c>
      <c r="E6" s="25" t="s">
        <v>53</v>
      </c>
      <c r="F6" s="26">
        <v>1</v>
      </c>
      <c r="G6" s="26">
        <v>1</v>
      </c>
      <c r="H6" s="27">
        <v>45748</v>
      </c>
      <c r="I6" s="27">
        <v>46022</v>
      </c>
      <c r="J6" s="28">
        <v>46053</v>
      </c>
      <c r="K6" s="25" t="s">
        <v>54</v>
      </c>
      <c r="L6" s="25" t="s">
        <v>55</v>
      </c>
      <c r="M6" s="25"/>
      <c r="N6" s="25"/>
      <c r="O6" s="29">
        <v>105000000</v>
      </c>
      <c r="P6" s="30">
        <v>4</v>
      </c>
      <c r="Q6" s="31" t="s">
        <v>34</v>
      </c>
      <c r="R6" s="26" t="s">
        <v>35</v>
      </c>
      <c r="S6" s="26" t="s">
        <v>35</v>
      </c>
      <c r="T6" s="25"/>
      <c r="U6" s="25"/>
      <c r="V6" s="25"/>
      <c r="W6" s="25"/>
      <c r="X6" s="32"/>
      <c r="Y6" s="25"/>
      <c r="Z6" s="22" t="s">
        <v>36</v>
      </c>
      <c r="AA6" s="22" t="s">
        <v>35</v>
      </c>
      <c r="AB6" s="22"/>
    </row>
    <row r="7" spans="1:28" x14ac:dyDescent="0.3">
      <c r="A7" s="24">
        <v>74</v>
      </c>
      <c r="B7" s="25" t="s">
        <v>42</v>
      </c>
      <c r="C7" s="26" t="s">
        <v>43</v>
      </c>
      <c r="D7" s="25" t="s">
        <v>56</v>
      </c>
      <c r="E7" s="25" t="s">
        <v>57</v>
      </c>
      <c r="F7" s="26">
        <v>1</v>
      </c>
      <c r="G7" s="26">
        <v>1</v>
      </c>
      <c r="H7" s="27">
        <v>45748</v>
      </c>
      <c r="I7" s="27">
        <v>46022</v>
      </c>
      <c r="J7" s="28">
        <v>46053</v>
      </c>
      <c r="K7" s="25" t="s">
        <v>58</v>
      </c>
      <c r="L7" s="25" t="s">
        <v>59</v>
      </c>
      <c r="M7" s="25"/>
      <c r="N7" s="25"/>
      <c r="O7" s="29">
        <v>234500000</v>
      </c>
      <c r="P7" s="30">
        <v>3</v>
      </c>
      <c r="Q7" s="31" t="s">
        <v>34</v>
      </c>
      <c r="R7" s="26" t="s">
        <v>35</v>
      </c>
      <c r="S7" s="26" t="s">
        <v>35</v>
      </c>
      <c r="T7" s="25"/>
      <c r="U7" s="25"/>
      <c r="V7" s="25"/>
      <c r="W7" s="25"/>
      <c r="X7" s="32"/>
      <c r="Y7" s="25"/>
      <c r="Z7" s="22" t="s">
        <v>36</v>
      </c>
      <c r="AA7" s="22" t="s">
        <v>35</v>
      </c>
      <c r="AB7" s="22"/>
    </row>
    <row r="8" spans="1:28" x14ac:dyDescent="0.3">
      <c r="A8" s="24">
        <v>79</v>
      </c>
      <c r="B8" s="25" t="s">
        <v>42</v>
      </c>
      <c r="C8" s="26" t="s">
        <v>43</v>
      </c>
      <c r="D8" s="25" t="s">
        <v>60</v>
      </c>
      <c r="E8" s="25" t="s">
        <v>61</v>
      </c>
      <c r="F8" s="26">
        <v>1</v>
      </c>
      <c r="G8" s="26">
        <v>1</v>
      </c>
      <c r="H8" s="27">
        <v>45748</v>
      </c>
      <c r="I8" s="27">
        <v>46022</v>
      </c>
      <c r="J8" s="28">
        <v>46053</v>
      </c>
      <c r="K8" s="25" t="s">
        <v>62</v>
      </c>
      <c r="L8" s="25" t="s">
        <v>63</v>
      </c>
      <c r="M8" s="25"/>
      <c r="N8" s="25"/>
      <c r="O8" s="29">
        <v>382500000</v>
      </c>
      <c r="P8" s="30">
        <v>3</v>
      </c>
      <c r="Q8" s="31" t="s">
        <v>34</v>
      </c>
      <c r="R8" s="26" t="s">
        <v>35</v>
      </c>
      <c r="S8" s="26" t="s">
        <v>35</v>
      </c>
      <c r="T8" s="25"/>
      <c r="U8" s="25"/>
      <c r="V8" s="25"/>
      <c r="W8" s="25"/>
      <c r="X8" s="32"/>
      <c r="Y8" s="25"/>
      <c r="Z8" s="22" t="s">
        <v>36</v>
      </c>
      <c r="AA8" s="22" t="s">
        <v>64</v>
      </c>
      <c r="AB8" s="22"/>
    </row>
    <row r="9" spans="1:28" x14ac:dyDescent="0.3">
      <c r="A9" s="24">
        <v>84</v>
      </c>
      <c r="B9" s="25" t="s">
        <v>42</v>
      </c>
      <c r="C9" s="26" t="s">
        <v>43</v>
      </c>
      <c r="D9" s="25" t="s">
        <v>65</v>
      </c>
      <c r="E9" s="25" t="s">
        <v>66</v>
      </c>
      <c r="F9" s="26">
        <v>1</v>
      </c>
      <c r="G9" s="26">
        <v>1</v>
      </c>
      <c r="H9" s="27">
        <v>45748</v>
      </c>
      <c r="I9" s="27">
        <v>46022</v>
      </c>
      <c r="J9" s="28">
        <v>46053</v>
      </c>
      <c r="K9" s="25" t="s">
        <v>67</v>
      </c>
      <c r="L9" s="25" t="s">
        <v>68</v>
      </c>
      <c r="M9" s="25"/>
      <c r="N9" s="25"/>
      <c r="O9" s="29">
        <v>639210000</v>
      </c>
      <c r="P9" s="30">
        <v>6</v>
      </c>
      <c r="Q9" s="31" t="s">
        <v>34</v>
      </c>
      <c r="R9" s="26" t="s">
        <v>35</v>
      </c>
      <c r="S9" s="26" t="s">
        <v>35</v>
      </c>
      <c r="T9" s="25"/>
      <c r="U9" s="25"/>
      <c r="V9" s="25"/>
      <c r="W9" s="25"/>
      <c r="X9" s="32"/>
      <c r="Y9" s="25"/>
      <c r="Z9" s="22" t="s">
        <v>36</v>
      </c>
      <c r="AA9" s="22" t="s">
        <v>35</v>
      </c>
      <c r="AB9" s="22"/>
    </row>
    <row r="10" spans="1:28" x14ac:dyDescent="0.3">
      <c r="A10" s="33">
        <v>94</v>
      </c>
      <c r="B10" s="34" t="s">
        <v>69</v>
      </c>
      <c r="C10" s="35" t="s">
        <v>43</v>
      </c>
      <c r="D10" s="36" t="s">
        <v>70</v>
      </c>
      <c r="E10" s="36" t="s">
        <v>71</v>
      </c>
      <c r="F10" s="37">
        <v>0</v>
      </c>
      <c r="G10" s="37">
        <v>3</v>
      </c>
      <c r="H10" s="38">
        <v>45658</v>
      </c>
      <c r="I10" s="39">
        <v>46022</v>
      </c>
      <c r="J10" s="40">
        <v>46081</v>
      </c>
      <c r="K10" s="36" t="s">
        <v>72</v>
      </c>
      <c r="L10" s="36" t="s">
        <v>73</v>
      </c>
      <c r="M10" s="41"/>
      <c r="N10" s="41"/>
      <c r="O10" s="42">
        <v>1050000000</v>
      </c>
      <c r="P10" s="43">
        <v>1</v>
      </c>
      <c r="Q10" s="44" t="s">
        <v>34</v>
      </c>
      <c r="R10" s="43" t="s">
        <v>35</v>
      </c>
      <c r="S10" s="43" t="s">
        <v>35</v>
      </c>
      <c r="T10" s="45" t="s">
        <v>74</v>
      </c>
      <c r="U10" s="43"/>
      <c r="V10" s="42">
        <v>0</v>
      </c>
      <c r="W10" s="42">
        <v>1712750</v>
      </c>
      <c r="X10" s="46"/>
      <c r="Y10" s="34"/>
      <c r="Z10" s="22" t="s">
        <v>36</v>
      </c>
      <c r="AA10" s="22" t="s">
        <v>75</v>
      </c>
      <c r="AB10" s="22"/>
    </row>
    <row r="11" spans="1:28" x14ac:dyDescent="0.3">
      <c r="A11" s="33">
        <v>124</v>
      </c>
      <c r="B11" s="34" t="s">
        <v>69</v>
      </c>
      <c r="C11" s="35" t="s">
        <v>43</v>
      </c>
      <c r="D11" s="34" t="s">
        <v>76</v>
      </c>
      <c r="E11" s="34" t="s">
        <v>77</v>
      </c>
      <c r="F11" s="35">
        <v>1</v>
      </c>
      <c r="G11" s="35">
        <v>4</v>
      </c>
      <c r="H11" s="47">
        <v>45658</v>
      </c>
      <c r="I11" s="47">
        <v>46022</v>
      </c>
      <c r="J11" s="48">
        <v>46157</v>
      </c>
      <c r="K11" s="34" t="s">
        <v>78</v>
      </c>
      <c r="L11" s="34" t="s">
        <v>63</v>
      </c>
      <c r="M11" s="34"/>
      <c r="N11" s="34"/>
      <c r="O11" s="49">
        <v>3681000000</v>
      </c>
      <c r="P11" s="35">
        <v>1</v>
      </c>
      <c r="Q11" s="50" t="s">
        <v>41</v>
      </c>
      <c r="R11" s="43" t="s">
        <v>35</v>
      </c>
      <c r="S11" s="43" t="s">
        <v>35</v>
      </c>
      <c r="T11" s="34"/>
      <c r="U11" s="43"/>
      <c r="V11" s="42">
        <v>0</v>
      </c>
      <c r="W11" s="42">
        <v>1725000</v>
      </c>
      <c r="X11" s="46"/>
      <c r="Y11" s="34"/>
      <c r="Z11" s="22" t="s">
        <v>36</v>
      </c>
      <c r="AA11" s="22" t="s">
        <v>79</v>
      </c>
      <c r="AB11" s="22"/>
    </row>
    <row r="12" spans="1:28" x14ac:dyDescent="0.3">
      <c r="A12" s="35">
        <v>158</v>
      </c>
      <c r="B12" s="44" t="s">
        <v>80</v>
      </c>
      <c r="C12" s="51" t="s">
        <v>43</v>
      </c>
      <c r="D12" s="44" t="s">
        <v>81</v>
      </c>
      <c r="E12" s="44" t="s">
        <v>82</v>
      </c>
      <c r="F12" s="51">
        <v>0</v>
      </c>
      <c r="G12" s="51">
        <v>1</v>
      </c>
      <c r="H12" s="52">
        <v>45931</v>
      </c>
      <c r="I12" s="52">
        <v>46022</v>
      </c>
      <c r="J12" s="53">
        <v>46081</v>
      </c>
      <c r="K12" s="44" t="s">
        <v>83</v>
      </c>
      <c r="L12" s="44" t="s">
        <v>84</v>
      </c>
      <c r="M12" s="50"/>
      <c r="N12" s="54"/>
      <c r="O12" s="55">
        <v>4095000000</v>
      </c>
      <c r="P12" s="51">
        <v>1</v>
      </c>
      <c r="Q12" s="44" t="s">
        <v>85</v>
      </c>
      <c r="R12" s="56" t="s">
        <v>35</v>
      </c>
      <c r="S12" s="56" t="s">
        <v>35</v>
      </c>
      <c r="T12" s="57" t="s">
        <v>86</v>
      </c>
      <c r="U12" s="43"/>
      <c r="V12" s="42"/>
      <c r="W12" s="42"/>
      <c r="X12" s="46"/>
      <c r="Y12" s="34"/>
      <c r="Z12" s="22" t="s">
        <v>36</v>
      </c>
      <c r="AA12" s="22"/>
      <c r="AB12" s="22"/>
    </row>
    <row r="13" spans="1:28" x14ac:dyDescent="0.3">
      <c r="A13" s="35">
        <v>164</v>
      </c>
      <c r="B13" s="44" t="s">
        <v>80</v>
      </c>
      <c r="C13" s="51" t="s">
        <v>43</v>
      </c>
      <c r="D13" s="44" t="s">
        <v>87</v>
      </c>
      <c r="E13" s="44" t="s">
        <v>88</v>
      </c>
      <c r="F13" s="51">
        <v>0</v>
      </c>
      <c r="G13" s="51">
        <v>1</v>
      </c>
      <c r="H13" s="52">
        <v>45931</v>
      </c>
      <c r="I13" s="52">
        <v>46022</v>
      </c>
      <c r="J13" s="53">
        <v>46081</v>
      </c>
      <c r="K13" s="44" t="s">
        <v>89</v>
      </c>
      <c r="L13" s="44" t="s">
        <v>90</v>
      </c>
      <c r="M13" s="50"/>
      <c r="N13" s="54"/>
      <c r="O13" s="55">
        <v>930000000</v>
      </c>
      <c r="P13" s="51">
        <v>2</v>
      </c>
      <c r="Q13" s="44" t="s">
        <v>85</v>
      </c>
      <c r="R13" s="56" t="s">
        <v>35</v>
      </c>
      <c r="S13" s="56" t="s">
        <v>35</v>
      </c>
      <c r="T13" s="57" t="s">
        <v>86</v>
      </c>
      <c r="U13" s="43"/>
      <c r="V13" s="42"/>
      <c r="W13" s="42"/>
      <c r="X13" s="46"/>
      <c r="Y13" s="34"/>
      <c r="Z13" s="22" t="s">
        <v>36</v>
      </c>
      <c r="AA13" s="22"/>
      <c r="AB13" s="22"/>
    </row>
    <row r="14" spans="1:28" x14ac:dyDescent="0.3">
      <c r="A14" s="58">
        <v>31</v>
      </c>
      <c r="B14" s="59" t="s">
        <v>91</v>
      </c>
      <c r="C14" s="60" t="s">
        <v>43</v>
      </c>
      <c r="D14" s="59" t="s">
        <v>92</v>
      </c>
      <c r="E14" s="59" t="s">
        <v>93</v>
      </c>
      <c r="F14" s="60">
        <v>0</v>
      </c>
      <c r="G14" s="60">
        <v>2</v>
      </c>
      <c r="H14" s="61">
        <v>45658</v>
      </c>
      <c r="I14" s="61">
        <v>46022</v>
      </c>
      <c r="J14" s="62">
        <v>46112</v>
      </c>
      <c r="K14" s="59" t="s">
        <v>94</v>
      </c>
      <c r="L14" s="59" t="s">
        <v>95</v>
      </c>
      <c r="M14" s="59"/>
      <c r="N14" s="59"/>
      <c r="O14" s="63">
        <v>723334000</v>
      </c>
      <c r="P14" s="60">
        <v>1</v>
      </c>
      <c r="Q14" s="64" t="s">
        <v>34</v>
      </c>
      <c r="R14" s="65" t="s">
        <v>35</v>
      </c>
      <c r="S14" s="65" t="s">
        <v>35</v>
      </c>
      <c r="T14" s="59"/>
      <c r="U14" s="59"/>
      <c r="V14" s="59"/>
      <c r="W14" s="59"/>
      <c r="X14" s="66"/>
      <c r="Y14" s="59"/>
      <c r="Z14" s="22" t="s">
        <v>36</v>
      </c>
      <c r="AA14" s="22"/>
      <c r="AB14" s="22"/>
    </row>
    <row r="15" spans="1:28" x14ac:dyDescent="0.3">
      <c r="A15" s="58">
        <v>71</v>
      </c>
      <c r="B15" s="59" t="s">
        <v>91</v>
      </c>
      <c r="C15" s="60" t="s">
        <v>43</v>
      </c>
      <c r="D15" s="59" t="s">
        <v>96</v>
      </c>
      <c r="E15" s="59" t="s">
        <v>97</v>
      </c>
      <c r="F15" s="60">
        <v>0</v>
      </c>
      <c r="G15" s="60">
        <v>3</v>
      </c>
      <c r="H15" s="61">
        <v>45658</v>
      </c>
      <c r="I15" s="61">
        <v>46022</v>
      </c>
      <c r="J15" s="62">
        <v>46203</v>
      </c>
      <c r="K15" s="59" t="s">
        <v>98</v>
      </c>
      <c r="L15" s="59" t="s">
        <v>99</v>
      </c>
      <c r="M15" s="59"/>
      <c r="N15" s="59"/>
      <c r="O15" s="63">
        <v>716150000</v>
      </c>
      <c r="P15" s="60">
        <v>2</v>
      </c>
      <c r="Q15" s="67" t="s">
        <v>41</v>
      </c>
      <c r="R15" s="65" t="s">
        <v>35</v>
      </c>
      <c r="S15" s="65" t="s">
        <v>35</v>
      </c>
      <c r="T15" s="59"/>
      <c r="U15" s="59"/>
      <c r="V15" s="59"/>
      <c r="W15" s="59"/>
      <c r="X15" s="66"/>
      <c r="Y15" s="59"/>
      <c r="Z15" s="22" t="s">
        <v>36</v>
      </c>
      <c r="AA15" s="22"/>
      <c r="AB15" s="22"/>
    </row>
    <row r="16" spans="1:28" x14ac:dyDescent="0.3">
      <c r="A16" s="58">
        <v>92</v>
      </c>
      <c r="B16" s="59" t="s">
        <v>91</v>
      </c>
      <c r="C16" s="60" t="s">
        <v>43</v>
      </c>
      <c r="D16" s="59" t="s">
        <v>100</v>
      </c>
      <c r="E16" s="59" t="s">
        <v>101</v>
      </c>
      <c r="F16" s="60">
        <v>0</v>
      </c>
      <c r="G16" s="60">
        <v>3</v>
      </c>
      <c r="H16" s="61">
        <v>45658</v>
      </c>
      <c r="I16" s="61">
        <v>46022</v>
      </c>
      <c r="J16" s="62">
        <v>46203</v>
      </c>
      <c r="K16" s="59" t="s">
        <v>102</v>
      </c>
      <c r="L16" s="59" t="s">
        <v>103</v>
      </c>
      <c r="M16" s="59"/>
      <c r="N16" s="59"/>
      <c r="O16" s="63">
        <v>477000000</v>
      </c>
      <c r="P16" s="60">
        <v>2</v>
      </c>
      <c r="Q16" s="67" t="s">
        <v>41</v>
      </c>
      <c r="R16" s="65" t="s">
        <v>35</v>
      </c>
      <c r="S16" s="65" t="s">
        <v>35</v>
      </c>
      <c r="T16" s="59"/>
      <c r="U16" s="59"/>
      <c r="V16" s="59"/>
      <c r="W16" s="59"/>
      <c r="X16" s="66"/>
      <c r="Y16" s="59"/>
      <c r="Z16" s="22" t="s">
        <v>36</v>
      </c>
      <c r="AA16" s="22"/>
      <c r="AB16" s="22"/>
    </row>
    <row r="17" spans="1:28" x14ac:dyDescent="0.3">
      <c r="A17" s="58">
        <v>99</v>
      </c>
      <c r="B17" s="59" t="s">
        <v>91</v>
      </c>
      <c r="C17" s="60" t="s">
        <v>43</v>
      </c>
      <c r="D17" s="59" t="s">
        <v>104</v>
      </c>
      <c r="E17" s="59" t="s">
        <v>105</v>
      </c>
      <c r="F17" s="60">
        <v>2</v>
      </c>
      <c r="G17" s="60">
        <v>1</v>
      </c>
      <c r="H17" s="61">
        <v>45658</v>
      </c>
      <c r="I17" s="61">
        <v>46022</v>
      </c>
      <c r="J17" s="62">
        <v>46112</v>
      </c>
      <c r="K17" s="59" t="s">
        <v>106</v>
      </c>
      <c r="L17" s="59" t="s">
        <v>107</v>
      </c>
      <c r="M17" s="59"/>
      <c r="N17" s="59"/>
      <c r="O17" s="63">
        <v>477000000</v>
      </c>
      <c r="P17" s="60">
        <v>2</v>
      </c>
      <c r="Q17" s="64" t="s">
        <v>34</v>
      </c>
      <c r="R17" s="65" t="s">
        <v>35</v>
      </c>
      <c r="S17" s="65" t="s">
        <v>35</v>
      </c>
      <c r="T17" s="59"/>
      <c r="U17" s="59"/>
      <c r="V17" s="59"/>
      <c r="W17" s="59"/>
      <c r="X17" s="66"/>
      <c r="Y17" s="59"/>
      <c r="Z17" s="22" t="s">
        <v>36</v>
      </c>
      <c r="AA17" s="22"/>
      <c r="AB17" s="22"/>
    </row>
    <row r="18" spans="1:28" x14ac:dyDescent="0.3">
      <c r="A18" s="58">
        <v>100</v>
      </c>
      <c r="B18" s="59" t="s">
        <v>91</v>
      </c>
      <c r="C18" s="60" t="s">
        <v>43</v>
      </c>
      <c r="D18" s="59" t="s">
        <v>108</v>
      </c>
      <c r="E18" s="59" t="s">
        <v>109</v>
      </c>
      <c r="F18" s="60">
        <v>2</v>
      </c>
      <c r="G18" s="60">
        <v>1</v>
      </c>
      <c r="H18" s="61">
        <v>45658</v>
      </c>
      <c r="I18" s="61">
        <v>46022</v>
      </c>
      <c r="J18" s="62">
        <v>46203</v>
      </c>
      <c r="K18" s="59" t="s">
        <v>110</v>
      </c>
      <c r="L18" s="59" t="s">
        <v>111</v>
      </c>
      <c r="M18" s="59"/>
      <c r="N18" s="59"/>
      <c r="O18" s="63">
        <v>306000000</v>
      </c>
      <c r="P18" s="60">
        <v>2</v>
      </c>
      <c r="Q18" s="67" t="s">
        <v>41</v>
      </c>
      <c r="R18" s="65" t="s">
        <v>35</v>
      </c>
      <c r="S18" s="65" t="s">
        <v>35</v>
      </c>
      <c r="T18" s="59"/>
      <c r="U18" s="59"/>
      <c r="V18" s="59"/>
      <c r="W18" s="59"/>
      <c r="X18" s="66"/>
      <c r="Y18" s="59"/>
      <c r="Z18" s="22" t="s">
        <v>36</v>
      </c>
      <c r="AA18" s="22"/>
      <c r="AB18" s="22"/>
    </row>
    <row r="19" spans="1:28" x14ac:dyDescent="0.3">
      <c r="A19" s="58">
        <v>136</v>
      </c>
      <c r="B19" s="67" t="s">
        <v>112</v>
      </c>
      <c r="C19" s="68" t="s">
        <v>43</v>
      </c>
      <c r="D19" s="67" t="s">
        <v>113</v>
      </c>
      <c r="E19" s="67" t="s">
        <v>114</v>
      </c>
      <c r="F19" s="68">
        <v>2</v>
      </c>
      <c r="G19" s="68">
        <v>2</v>
      </c>
      <c r="H19" s="69">
        <v>45658</v>
      </c>
      <c r="I19" s="69">
        <v>46022</v>
      </c>
      <c r="J19" s="70">
        <v>46203</v>
      </c>
      <c r="K19" s="67" t="s">
        <v>115</v>
      </c>
      <c r="L19" s="67" t="s">
        <v>116</v>
      </c>
      <c r="M19" s="67"/>
      <c r="N19" s="67"/>
      <c r="O19" s="71">
        <v>492900000</v>
      </c>
      <c r="P19" s="68">
        <v>1</v>
      </c>
      <c r="Q19" s="67" t="s">
        <v>41</v>
      </c>
      <c r="R19" s="65" t="s">
        <v>35</v>
      </c>
      <c r="S19" s="65" t="s">
        <v>35</v>
      </c>
      <c r="T19" s="59"/>
      <c r="U19" s="59"/>
      <c r="V19" s="59"/>
      <c r="W19" s="59"/>
      <c r="X19" s="66"/>
      <c r="Y19" s="59"/>
      <c r="Z19" s="22" t="s">
        <v>36</v>
      </c>
      <c r="AA19" s="22"/>
      <c r="AB19" s="22"/>
    </row>
    <row r="20" spans="1:28" x14ac:dyDescent="0.3">
      <c r="A20" s="72">
        <v>54</v>
      </c>
      <c r="B20" s="73" t="s">
        <v>117</v>
      </c>
      <c r="C20" s="74" t="s">
        <v>43</v>
      </c>
      <c r="D20" s="73" t="s">
        <v>118</v>
      </c>
      <c r="E20" s="73" t="s">
        <v>119</v>
      </c>
      <c r="F20" s="74">
        <v>0</v>
      </c>
      <c r="G20" s="74">
        <v>1</v>
      </c>
      <c r="H20" s="75">
        <v>45748</v>
      </c>
      <c r="I20" s="75">
        <v>46112</v>
      </c>
      <c r="J20" s="76">
        <v>46295</v>
      </c>
      <c r="K20" s="73" t="s">
        <v>102</v>
      </c>
      <c r="L20" s="73" t="s">
        <v>120</v>
      </c>
      <c r="M20" s="73"/>
      <c r="N20" s="73"/>
      <c r="O20" s="77">
        <v>100000000</v>
      </c>
      <c r="P20" s="74">
        <v>1</v>
      </c>
      <c r="Q20" s="78" t="s">
        <v>121</v>
      </c>
      <c r="R20" s="74" t="s">
        <v>35</v>
      </c>
      <c r="S20" s="74" t="s">
        <v>35</v>
      </c>
      <c r="T20" s="73"/>
      <c r="U20" s="73"/>
      <c r="V20" s="73"/>
      <c r="W20" s="73"/>
      <c r="X20" s="79"/>
      <c r="Y20" s="73"/>
      <c r="Z20" s="22" t="s">
        <v>36</v>
      </c>
      <c r="AA20" s="22" t="s">
        <v>122</v>
      </c>
      <c r="AB20" s="22"/>
    </row>
    <row r="21" spans="1:28" x14ac:dyDescent="0.3">
      <c r="A21" s="72">
        <v>72</v>
      </c>
      <c r="B21" s="73" t="s">
        <v>117</v>
      </c>
      <c r="C21" s="74" t="s">
        <v>43</v>
      </c>
      <c r="D21" s="73" t="s">
        <v>123</v>
      </c>
      <c r="E21" s="73" t="s">
        <v>124</v>
      </c>
      <c r="F21" s="74">
        <v>0</v>
      </c>
      <c r="G21" s="74">
        <v>1</v>
      </c>
      <c r="H21" s="75">
        <v>45748</v>
      </c>
      <c r="I21" s="75">
        <v>46022</v>
      </c>
      <c r="J21" s="76">
        <v>46112</v>
      </c>
      <c r="K21" s="73" t="s">
        <v>106</v>
      </c>
      <c r="L21" s="73" t="s">
        <v>125</v>
      </c>
      <c r="M21" s="73"/>
      <c r="N21" s="73"/>
      <c r="O21" s="77">
        <v>75000000</v>
      </c>
      <c r="P21" s="74">
        <v>2</v>
      </c>
      <c r="Q21" s="80" t="s">
        <v>34</v>
      </c>
      <c r="R21" s="74" t="s">
        <v>35</v>
      </c>
      <c r="S21" s="74" t="s">
        <v>35</v>
      </c>
      <c r="T21" s="73"/>
      <c r="U21" s="73"/>
      <c r="V21" s="73"/>
      <c r="W21" s="73"/>
      <c r="X21" s="79"/>
      <c r="Y21" s="73"/>
      <c r="Z21" s="22" t="s">
        <v>36</v>
      </c>
      <c r="AA21" s="22" t="s">
        <v>122</v>
      </c>
      <c r="AB21" s="22"/>
    </row>
    <row r="22" spans="1:28" x14ac:dyDescent="0.3">
      <c r="A22" s="72">
        <v>99</v>
      </c>
      <c r="B22" s="73" t="s">
        <v>117</v>
      </c>
      <c r="C22" s="74" t="s">
        <v>43</v>
      </c>
      <c r="D22" s="73" t="s">
        <v>126</v>
      </c>
      <c r="E22" s="73" t="s">
        <v>127</v>
      </c>
      <c r="F22" s="74">
        <v>0</v>
      </c>
      <c r="G22" s="74">
        <v>1</v>
      </c>
      <c r="H22" s="75">
        <v>45748</v>
      </c>
      <c r="I22" s="75">
        <v>46022</v>
      </c>
      <c r="J22" s="76">
        <v>46112</v>
      </c>
      <c r="K22" s="73" t="s">
        <v>128</v>
      </c>
      <c r="L22" s="73" t="s">
        <v>129</v>
      </c>
      <c r="M22" s="73"/>
      <c r="N22" s="73"/>
      <c r="O22" s="77">
        <v>378750000</v>
      </c>
      <c r="P22" s="74">
        <v>3</v>
      </c>
      <c r="Q22" s="80" t="s">
        <v>34</v>
      </c>
      <c r="R22" s="74" t="s">
        <v>35</v>
      </c>
      <c r="S22" s="74" t="s">
        <v>35</v>
      </c>
      <c r="T22" s="73"/>
      <c r="U22" s="73"/>
      <c r="V22" s="73"/>
      <c r="W22" s="73"/>
      <c r="X22" s="79"/>
      <c r="Y22" s="73"/>
      <c r="Z22" s="22" t="s">
        <v>36</v>
      </c>
      <c r="AA22" s="22" t="s">
        <v>130</v>
      </c>
      <c r="AB22" s="22"/>
    </row>
    <row r="23" spans="1:28" x14ac:dyDescent="0.3">
      <c r="A23" s="72">
        <v>102</v>
      </c>
      <c r="B23" s="73" t="s">
        <v>117</v>
      </c>
      <c r="C23" s="74" t="s">
        <v>43</v>
      </c>
      <c r="D23" s="73" t="s">
        <v>131</v>
      </c>
      <c r="E23" s="73" t="s">
        <v>132</v>
      </c>
      <c r="F23" s="74">
        <v>0</v>
      </c>
      <c r="G23" s="74">
        <v>1</v>
      </c>
      <c r="H23" s="75">
        <v>45748</v>
      </c>
      <c r="I23" s="75">
        <v>46022</v>
      </c>
      <c r="J23" s="76">
        <v>46112</v>
      </c>
      <c r="K23" s="73" t="s">
        <v>128</v>
      </c>
      <c r="L23" s="73" t="s">
        <v>133</v>
      </c>
      <c r="M23" s="73"/>
      <c r="N23" s="73"/>
      <c r="O23" s="77">
        <v>387500000</v>
      </c>
      <c r="P23" s="74">
        <v>2</v>
      </c>
      <c r="Q23" s="80" t="s">
        <v>34</v>
      </c>
      <c r="R23" s="74" t="s">
        <v>35</v>
      </c>
      <c r="S23" s="74" t="s">
        <v>35</v>
      </c>
      <c r="T23" s="73"/>
      <c r="U23" s="73"/>
      <c r="V23" s="73"/>
      <c r="W23" s="73"/>
      <c r="X23" s="79"/>
      <c r="Y23" s="73"/>
      <c r="Z23" s="22" t="s">
        <v>36</v>
      </c>
      <c r="AA23" s="22" t="s">
        <v>134</v>
      </c>
      <c r="AB23" s="22"/>
    </row>
    <row r="24" spans="1:28" x14ac:dyDescent="0.3">
      <c r="A24" s="72">
        <v>125</v>
      </c>
      <c r="B24" s="73" t="s">
        <v>117</v>
      </c>
      <c r="C24" s="74" t="s">
        <v>43</v>
      </c>
      <c r="D24" s="73" t="s">
        <v>135</v>
      </c>
      <c r="E24" s="73" t="s">
        <v>136</v>
      </c>
      <c r="F24" s="74">
        <v>1</v>
      </c>
      <c r="G24" s="74">
        <v>1</v>
      </c>
      <c r="H24" s="75">
        <v>45748</v>
      </c>
      <c r="I24" s="75">
        <v>46022</v>
      </c>
      <c r="J24" s="76">
        <v>46112</v>
      </c>
      <c r="K24" s="73" t="s">
        <v>137</v>
      </c>
      <c r="L24" s="73" t="s">
        <v>138</v>
      </c>
      <c r="M24" s="73"/>
      <c r="N24" s="73"/>
      <c r="O24" s="77">
        <v>750000000</v>
      </c>
      <c r="P24" s="74">
        <v>1</v>
      </c>
      <c r="Q24" s="80" t="s">
        <v>34</v>
      </c>
      <c r="R24" s="74" t="s">
        <v>35</v>
      </c>
      <c r="S24" s="74" t="s">
        <v>35</v>
      </c>
      <c r="T24" s="78" t="s">
        <v>139</v>
      </c>
      <c r="U24" s="73"/>
      <c r="V24" s="73"/>
      <c r="W24" s="73"/>
      <c r="X24" s="79"/>
      <c r="Y24" s="73"/>
      <c r="Z24" s="22" t="s">
        <v>36</v>
      </c>
      <c r="AA24" s="22" t="s">
        <v>140</v>
      </c>
      <c r="AB24" s="22"/>
    </row>
    <row r="25" spans="1:28" x14ac:dyDescent="0.3">
      <c r="A25" s="72">
        <v>133</v>
      </c>
      <c r="B25" s="73" t="s">
        <v>117</v>
      </c>
      <c r="C25" s="74" t="s">
        <v>43</v>
      </c>
      <c r="D25" s="73" t="s">
        <v>141</v>
      </c>
      <c r="E25" s="73" t="s">
        <v>142</v>
      </c>
      <c r="F25" s="74">
        <v>0</v>
      </c>
      <c r="G25" s="74">
        <v>1</v>
      </c>
      <c r="H25" s="75">
        <v>45748</v>
      </c>
      <c r="I25" s="75">
        <v>46022</v>
      </c>
      <c r="J25" s="76">
        <v>46112</v>
      </c>
      <c r="K25" s="73" t="s">
        <v>143</v>
      </c>
      <c r="L25" s="73" t="s">
        <v>144</v>
      </c>
      <c r="M25" s="73"/>
      <c r="N25" s="73"/>
      <c r="O25" s="77">
        <v>154000000</v>
      </c>
      <c r="P25" s="74">
        <v>1</v>
      </c>
      <c r="Q25" s="80" t="s">
        <v>34</v>
      </c>
      <c r="R25" s="74" t="s">
        <v>35</v>
      </c>
      <c r="S25" s="74" t="s">
        <v>35</v>
      </c>
      <c r="T25" s="73"/>
      <c r="U25" s="73"/>
      <c r="V25" s="73"/>
      <c r="W25" s="73"/>
      <c r="X25" s="79"/>
      <c r="Y25" s="73"/>
      <c r="Z25" s="22" t="s">
        <v>36</v>
      </c>
      <c r="AA25" s="22" t="s">
        <v>122</v>
      </c>
      <c r="AB25" s="22"/>
    </row>
    <row r="26" spans="1:28" x14ac:dyDescent="0.3">
      <c r="A26" s="72">
        <v>134</v>
      </c>
      <c r="B26" s="73" t="s">
        <v>117</v>
      </c>
      <c r="C26" s="74" t="s">
        <v>43</v>
      </c>
      <c r="D26" s="73" t="s">
        <v>145</v>
      </c>
      <c r="E26" s="73" t="s">
        <v>146</v>
      </c>
      <c r="F26" s="74">
        <v>0</v>
      </c>
      <c r="G26" s="74">
        <v>1</v>
      </c>
      <c r="H26" s="75">
        <v>45748</v>
      </c>
      <c r="I26" s="75">
        <v>46022</v>
      </c>
      <c r="J26" s="76">
        <v>46112</v>
      </c>
      <c r="K26" s="73" t="s">
        <v>147</v>
      </c>
      <c r="L26" s="73" t="s">
        <v>148</v>
      </c>
      <c r="M26" s="73"/>
      <c r="N26" s="73"/>
      <c r="O26" s="77">
        <v>144000000</v>
      </c>
      <c r="P26" s="74">
        <v>2</v>
      </c>
      <c r="Q26" s="80" t="s">
        <v>34</v>
      </c>
      <c r="R26" s="74" t="s">
        <v>35</v>
      </c>
      <c r="S26" s="74" t="s">
        <v>35</v>
      </c>
      <c r="T26" s="73"/>
      <c r="U26" s="73"/>
      <c r="V26" s="73"/>
      <c r="W26" s="73"/>
      <c r="X26" s="79"/>
      <c r="Y26" s="73"/>
      <c r="Z26" s="22" t="s">
        <v>36</v>
      </c>
      <c r="AA26" s="22" t="s">
        <v>122</v>
      </c>
      <c r="AB26" s="22"/>
    </row>
    <row r="27" spans="1:28" x14ac:dyDescent="0.3">
      <c r="A27" s="72">
        <v>201</v>
      </c>
      <c r="B27" s="73" t="s">
        <v>117</v>
      </c>
      <c r="C27" s="74" t="s">
        <v>43</v>
      </c>
      <c r="D27" s="73" t="s">
        <v>149</v>
      </c>
      <c r="E27" s="73" t="s">
        <v>150</v>
      </c>
      <c r="F27" s="74">
        <v>0</v>
      </c>
      <c r="G27" s="74">
        <v>1</v>
      </c>
      <c r="H27" s="75">
        <v>45748</v>
      </c>
      <c r="I27" s="75">
        <v>46022</v>
      </c>
      <c r="J27" s="76">
        <v>46112</v>
      </c>
      <c r="K27" s="73" t="s">
        <v>151</v>
      </c>
      <c r="L27" s="73" t="s">
        <v>152</v>
      </c>
      <c r="M27" s="73"/>
      <c r="N27" s="73"/>
      <c r="O27" s="77">
        <v>472130000</v>
      </c>
      <c r="P27" s="74">
        <v>1</v>
      </c>
      <c r="Q27" s="80" t="s">
        <v>34</v>
      </c>
      <c r="R27" s="74" t="s">
        <v>35</v>
      </c>
      <c r="S27" s="74" t="s">
        <v>35</v>
      </c>
      <c r="T27" s="73"/>
      <c r="U27" s="73"/>
      <c r="V27" s="73"/>
      <c r="W27" s="73"/>
      <c r="X27" s="79"/>
      <c r="Y27" s="73"/>
      <c r="Z27" s="22" t="s">
        <v>36</v>
      </c>
      <c r="AA27" s="22" t="s">
        <v>64</v>
      </c>
      <c r="AB27" s="22"/>
    </row>
    <row r="28" spans="1:28" x14ac:dyDescent="0.3">
      <c r="A28" s="72">
        <v>227</v>
      </c>
      <c r="B28" s="73" t="s">
        <v>117</v>
      </c>
      <c r="C28" s="74" t="s">
        <v>43</v>
      </c>
      <c r="D28" s="73" t="s">
        <v>153</v>
      </c>
      <c r="E28" s="73" t="s">
        <v>154</v>
      </c>
      <c r="F28" s="74">
        <v>0</v>
      </c>
      <c r="G28" s="74">
        <v>2</v>
      </c>
      <c r="H28" s="75">
        <v>45658</v>
      </c>
      <c r="I28" s="75">
        <v>46022</v>
      </c>
      <c r="J28" s="76">
        <v>46112</v>
      </c>
      <c r="K28" s="73" t="s">
        <v>155</v>
      </c>
      <c r="L28" s="73" t="s">
        <v>156</v>
      </c>
      <c r="M28" s="73"/>
      <c r="N28" s="73"/>
      <c r="O28" s="77">
        <v>375000000</v>
      </c>
      <c r="P28" s="74">
        <v>1</v>
      </c>
      <c r="Q28" s="80" t="s">
        <v>34</v>
      </c>
      <c r="R28" s="74" t="s">
        <v>35</v>
      </c>
      <c r="S28" s="74" t="s">
        <v>35</v>
      </c>
      <c r="T28" s="73"/>
      <c r="U28" s="73"/>
      <c r="V28" s="73"/>
      <c r="W28" s="73"/>
      <c r="X28" s="79"/>
      <c r="Y28" s="73"/>
      <c r="Z28" s="22" t="s">
        <v>36</v>
      </c>
      <c r="AA28" s="22" t="s">
        <v>157</v>
      </c>
      <c r="AB28" s="22"/>
    </row>
    <row r="29" spans="1:28" x14ac:dyDescent="0.3">
      <c r="A29" s="72">
        <v>240</v>
      </c>
      <c r="B29" s="73" t="s">
        <v>117</v>
      </c>
      <c r="C29" s="74" t="s">
        <v>43</v>
      </c>
      <c r="D29" s="73" t="s">
        <v>158</v>
      </c>
      <c r="E29" s="73" t="s">
        <v>159</v>
      </c>
      <c r="F29" s="74">
        <v>0</v>
      </c>
      <c r="G29" s="74">
        <v>2</v>
      </c>
      <c r="H29" s="75">
        <v>45658</v>
      </c>
      <c r="I29" s="75">
        <v>46022</v>
      </c>
      <c r="J29" s="76">
        <v>46112</v>
      </c>
      <c r="K29" s="73" t="s">
        <v>160</v>
      </c>
      <c r="L29" s="73" t="s">
        <v>161</v>
      </c>
      <c r="M29" s="73"/>
      <c r="N29" s="73"/>
      <c r="O29" s="77">
        <v>80000000</v>
      </c>
      <c r="P29" s="74">
        <v>1</v>
      </c>
      <c r="Q29" s="80" t="s">
        <v>34</v>
      </c>
      <c r="R29" s="74" t="s">
        <v>35</v>
      </c>
      <c r="S29" s="74" t="s">
        <v>35</v>
      </c>
      <c r="T29" s="73"/>
      <c r="U29" s="73"/>
      <c r="V29" s="73"/>
      <c r="W29" s="73"/>
      <c r="X29" s="79"/>
      <c r="Y29" s="73"/>
      <c r="Z29" s="22" t="s">
        <v>36</v>
      </c>
      <c r="AA29" s="22" t="s">
        <v>162</v>
      </c>
      <c r="AB29" s="22"/>
    </row>
    <row r="30" spans="1:28" x14ac:dyDescent="0.3">
      <c r="A30" s="72">
        <v>285</v>
      </c>
      <c r="B30" s="73" t="s">
        <v>117</v>
      </c>
      <c r="C30" s="74" t="s">
        <v>43</v>
      </c>
      <c r="D30" s="73" t="s">
        <v>163</v>
      </c>
      <c r="E30" s="73" t="s">
        <v>164</v>
      </c>
      <c r="F30" s="74">
        <v>0</v>
      </c>
      <c r="G30" s="74">
        <v>2</v>
      </c>
      <c r="H30" s="75">
        <v>45658</v>
      </c>
      <c r="I30" s="75">
        <v>46022</v>
      </c>
      <c r="J30" s="76">
        <v>46112</v>
      </c>
      <c r="K30" s="73" t="s">
        <v>165</v>
      </c>
      <c r="L30" s="73" t="s">
        <v>166</v>
      </c>
      <c r="M30" s="73"/>
      <c r="N30" s="73"/>
      <c r="O30" s="77">
        <v>852000000</v>
      </c>
      <c r="P30" s="74">
        <v>2</v>
      </c>
      <c r="Q30" s="80" t="s">
        <v>34</v>
      </c>
      <c r="R30" s="74" t="s">
        <v>35</v>
      </c>
      <c r="S30" s="74" t="s">
        <v>35</v>
      </c>
      <c r="T30" s="73"/>
      <c r="U30" s="73"/>
      <c r="V30" s="73"/>
      <c r="W30" s="73"/>
      <c r="X30" s="79"/>
      <c r="Y30" s="73"/>
      <c r="Z30" s="22" t="s">
        <v>36</v>
      </c>
      <c r="AA30" s="22" t="s">
        <v>167</v>
      </c>
      <c r="AB30" s="22"/>
    </row>
    <row r="31" spans="1:28" x14ac:dyDescent="0.3">
      <c r="A31" s="72">
        <v>301</v>
      </c>
      <c r="B31" s="73" t="s">
        <v>117</v>
      </c>
      <c r="C31" s="74" t="s">
        <v>43</v>
      </c>
      <c r="D31" s="73" t="s">
        <v>168</v>
      </c>
      <c r="E31" s="73" t="s">
        <v>169</v>
      </c>
      <c r="F31" s="74">
        <v>0</v>
      </c>
      <c r="G31" s="74">
        <v>2</v>
      </c>
      <c r="H31" s="75">
        <v>45658</v>
      </c>
      <c r="I31" s="75">
        <v>46022</v>
      </c>
      <c r="J31" s="76">
        <v>46112</v>
      </c>
      <c r="K31" s="73" t="s">
        <v>170</v>
      </c>
      <c r="L31" s="73" t="s">
        <v>171</v>
      </c>
      <c r="M31" s="73"/>
      <c r="N31" s="73"/>
      <c r="O31" s="77">
        <v>680967000</v>
      </c>
      <c r="P31" s="74">
        <v>3</v>
      </c>
      <c r="Q31" s="80" t="s">
        <v>34</v>
      </c>
      <c r="R31" s="74" t="s">
        <v>35</v>
      </c>
      <c r="S31" s="74" t="s">
        <v>35</v>
      </c>
      <c r="T31" s="73"/>
      <c r="U31" s="73"/>
      <c r="V31" s="73"/>
      <c r="W31" s="73"/>
      <c r="X31" s="79"/>
      <c r="Y31" s="73"/>
      <c r="Z31" s="22" t="s">
        <v>36</v>
      </c>
      <c r="AA31" s="22" t="s">
        <v>162</v>
      </c>
      <c r="AB31" s="22"/>
    </row>
    <row r="32" spans="1:28" x14ac:dyDescent="0.3">
      <c r="A32" s="72">
        <v>340</v>
      </c>
      <c r="B32" s="73" t="s">
        <v>117</v>
      </c>
      <c r="C32" s="74" t="s">
        <v>43</v>
      </c>
      <c r="D32" s="73" t="s">
        <v>172</v>
      </c>
      <c r="E32" s="73" t="s">
        <v>173</v>
      </c>
      <c r="F32" s="74">
        <v>1</v>
      </c>
      <c r="G32" s="74">
        <v>3</v>
      </c>
      <c r="H32" s="75">
        <v>45658</v>
      </c>
      <c r="I32" s="75">
        <v>46022</v>
      </c>
      <c r="J32" s="76">
        <v>46203</v>
      </c>
      <c r="K32" s="73" t="s">
        <v>174</v>
      </c>
      <c r="L32" s="73" t="s">
        <v>175</v>
      </c>
      <c r="M32" s="73"/>
      <c r="N32" s="73"/>
      <c r="O32" s="77">
        <v>604585000</v>
      </c>
      <c r="P32" s="74">
        <v>8</v>
      </c>
      <c r="Q32" s="78" t="s">
        <v>41</v>
      </c>
      <c r="R32" s="74" t="s">
        <v>35</v>
      </c>
      <c r="S32" s="74" t="s">
        <v>35</v>
      </c>
      <c r="T32" s="73" t="s">
        <v>176</v>
      </c>
      <c r="U32" s="73"/>
      <c r="V32" s="73"/>
      <c r="W32" s="73"/>
      <c r="X32" s="79"/>
      <c r="Y32" s="73"/>
      <c r="Z32" s="22" t="s">
        <v>36</v>
      </c>
      <c r="AA32" s="22" t="s">
        <v>75</v>
      </c>
      <c r="AB32" s="22"/>
    </row>
    <row r="33" spans="1:28" x14ac:dyDescent="0.3">
      <c r="A33" s="72">
        <v>341</v>
      </c>
      <c r="B33" s="73" t="s">
        <v>117</v>
      </c>
      <c r="C33" s="74" t="s">
        <v>43</v>
      </c>
      <c r="D33" s="73" t="s">
        <v>177</v>
      </c>
      <c r="E33" s="73" t="s">
        <v>178</v>
      </c>
      <c r="F33" s="74">
        <v>1</v>
      </c>
      <c r="G33" s="74">
        <v>3</v>
      </c>
      <c r="H33" s="75">
        <v>45658</v>
      </c>
      <c r="I33" s="75">
        <v>46022</v>
      </c>
      <c r="J33" s="76">
        <v>46203</v>
      </c>
      <c r="K33" s="73" t="s">
        <v>106</v>
      </c>
      <c r="L33" s="73" t="s">
        <v>179</v>
      </c>
      <c r="M33" s="73"/>
      <c r="N33" s="73"/>
      <c r="O33" s="77">
        <v>1022750000</v>
      </c>
      <c r="P33" s="74">
        <v>7</v>
      </c>
      <c r="Q33" s="78" t="s">
        <v>41</v>
      </c>
      <c r="R33" s="74" t="s">
        <v>35</v>
      </c>
      <c r="S33" s="74" t="s">
        <v>35</v>
      </c>
      <c r="T33" s="73" t="s">
        <v>176</v>
      </c>
      <c r="U33" s="73"/>
      <c r="V33" s="73"/>
      <c r="W33" s="73"/>
      <c r="X33" s="79"/>
      <c r="Y33" s="73"/>
      <c r="Z33" s="22" t="s">
        <v>36</v>
      </c>
      <c r="AA33" s="22" t="s">
        <v>157</v>
      </c>
      <c r="AB33" s="22"/>
    </row>
    <row r="34" spans="1:28" x14ac:dyDescent="0.3">
      <c r="A34" s="72">
        <v>392</v>
      </c>
      <c r="B34" s="73" t="s">
        <v>117</v>
      </c>
      <c r="C34" s="74" t="s">
        <v>43</v>
      </c>
      <c r="D34" s="73" t="s">
        <v>180</v>
      </c>
      <c r="E34" s="73" t="s">
        <v>181</v>
      </c>
      <c r="F34" s="74">
        <v>2</v>
      </c>
      <c r="G34" s="74">
        <v>1</v>
      </c>
      <c r="H34" s="75">
        <v>45658</v>
      </c>
      <c r="I34" s="75">
        <v>46022</v>
      </c>
      <c r="J34" s="76">
        <v>46112</v>
      </c>
      <c r="K34" s="73" t="s">
        <v>182</v>
      </c>
      <c r="L34" s="73" t="s">
        <v>183</v>
      </c>
      <c r="M34" s="73"/>
      <c r="N34" s="73"/>
      <c r="O34" s="77">
        <v>511800000</v>
      </c>
      <c r="P34" s="74">
        <v>3</v>
      </c>
      <c r="Q34" s="80" t="s">
        <v>34</v>
      </c>
      <c r="R34" s="74" t="s">
        <v>35</v>
      </c>
      <c r="S34" s="74" t="s">
        <v>35</v>
      </c>
      <c r="T34" s="73"/>
      <c r="U34" s="73"/>
      <c r="V34" s="73"/>
      <c r="W34" s="73"/>
      <c r="X34" s="79"/>
      <c r="Y34" s="73"/>
      <c r="Z34" s="22" t="s">
        <v>36</v>
      </c>
      <c r="AA34" s="22" t="s">
        <v>184</v>
      </c>
      <c r="AB34" s="22"/>
    </row>
    <row r="35" spans="1:28" x14ac:dyDescent="0.3">
      <c r="A35" s="72">
        <v>397</v>
      </c>
      <c r="B35" s="73" t="s">
        <v>117</v>
      </c>
      <c r="C35" s="74" t="s">
        <v>43</v>
      </c>
      <c r="D35" s="73" t="s">
        <v>185</v>
      </c>
      <c r="E35" s="73" t="s">
        <v>186</v>
      </c>
      <c r="F35" s="74">
        <v>0</v>
      </c>
      <c r="G35" s="74">
        <v>4</v>
      </c>
      <c r="H35" s="75">
        <v>45658</v>
      </c>
      <c r="I35" s="75">
        <v>46022</v>
      </c>
      <c r="J35" s="76">
        <v>46203</v>
      </c>
      <c r="K35" s="73" t="s">
        <v>187</v>
      </c>
      <c r="L35" s="73" t="s">
        <v>188</v>
      </c>
      <c r="M35" s="73"/>
      <c r="N35" s="73"/>
      <c r="O35" s="77">
        <v>855000000</v>
      </c>
      <c r="P35" s="74">
        <v>1</v>
      </c>
      <c r="Q35" s="78" t="s">
        <v>41</v>
      </c>
      <c r="R35" s="74" t="s">
        <v>35</v>
      </c>
      <c r="S35" s="74" t="s">
        <v>35</v>
      </c>
      <c r="T35" s="73" t="s">
        <v>189</v>
      </c>
      <c r="U35" s="73"/>
      <c r="V35" s="73"/>
      <c r="W35" s="73"/>
      <c r="X35" s="79"/>
      <c r="Y35" s="73"/>
      <c r="Z35" s="22" t="s">
        <v>36</v>
      </c>
      <c r="AA35" s="22" t="s">
        <v>122</v>
      </c>
      <c r="AB35" s="22"/>
    </row>
    <row r="36" spans="1:28" x14ac:dyDescent="0.3">
      <c r="A36" s="72">
        <v>422</v>
      </c>
      <c r="B36" s="73" t="s">
        <v>117</v>
      </c>
      <c r="C36" s="74" t="s">
        <v>43</v>
      </c>
      <c r="D36" s="73" t="s">
        <v>190</v>
      </c>
      <c r="E36" s="73" t="s">
        <v>191</v>
      </c>
      <c r="F36" s="74">
        <v>2</v>
      </c>
      <c r="G36" s="74">
        <v>2</v>
      </c>
      <c r="H36" s="75">
        <v>45658</v>
      </c>
      <c r="I36" s="75">
        <v>46022</v>
      </c>
      <c r="J36" s="76">
        <v>46112</v>
      </c>
      <c r="K36" s="73" t="s">
        <v>192</v>
      </c>
      <c r="L36" s="73" t="s">
        <v>193</v>
      </c>
      <c r="M36" s="73"/>
      <c r="N36" s="73"/>
      <c r="O36" s="77">
        <v>500000000</v>
      </c>
      <c r="P36" s="74">
        <v>1</v>
      </c>
      <c r="Q36" s="80" t="s">
        <v>34</v>
      </c>
      <c r="R36" s="74" t="s">
        <v>35</v>
      </c>
      <c r="S36" s="74" t="s">
        <v>35</v>
      </c>
      <c r="T36" s="73" t="s">
        <v>194</v>
      </c>
      <c r="U36" s="73"/>
      <c r="V36" s="73"/>
      <c r="W36" s="73"/>
      <c r="X36" s="79"/>
      <c r="Y36" s="73"/>
      <c r="Z36" s="22" t="s">
        <v>36</v>
      </c>
      <c r="AA36" s="22" t="s">
        <v>140</v>
      </c>
      <c r="AB36" s="22"/>
    </row>
    <row r="37" spans="1:28" x14ac:dyDescent="0.3">
      <c r="A37" s="72">
        <v>473</v>
      </c>
      <c r="B37" s="73" t="s">
        <v>117</v>
      </c>
      <c r="C37" s="74" t="s">
        <v>43</v>
      </c>
      <c r="D37" s="73" t="s">
        <v>195</v>
      </c>
      <c r="E37" s="73" t="s">
        <v>196</v>
      </c>
      <c r="F37" s="74">
        <v>2</v>
      </c>
      <c r="G37" s="74">
        <v>2</v>
      </c>
      <c r="H37" s="75">
        <v>45658</v>
      </c>
      <c r="I37" s="75">
        <v>45869</v>
      </c>
      <c r="J37" s="76">
        <v>46053</v>
      </c>
      <c r="K37" s="73" t="s">
        <v>192</v>
      </c>
      <c r="L37" s="73" t="s">
        <v>197</v>
      </c>
      <c r="M37" s="73"/>
      <c r="N37" s="73"/>
      <c r="O37" s="77">
        <v>146000000</v>
      </c>
      <c r="P37" s="74">
        <v>1</v>
      </c>
      <c r="Q37" s="78" t="s">
        <v>41</v>
      </c>
      <c r="R37" s="74" t="s">
        <v>35</v>
      </c>
      <c r="S37" s="74" t="s">
        <v>35</v>
      </c>
      <c r="T37" s="73" t="s">
        <v>194</v>
      </c>
      <c r="U37" s="73"/>
      <c r="V37" s="73"/>
      <c r="W37" s="73"/>
      <c r="X37" s="79"/>
      <c r="Y37" s="73"/>
      <c r="Z37" s="22" t="s">
        <v>36</v>
      </c>
      <c r="AA37" s="22" t="s">
        <v>79</v>
      </c>
      <c r="AB37" s="22"/>
    </row>
    <row r="38" spans="1:28" x14ac:dyDescent="0.3">
      <c r="A38" s="72">
        <v>474</v>
      </c>
      <c r="B38" s="73" t="s">
        <v>117</v>
      </c>
      <c r="C38" s="74" t="s">
        <v>43</v>
      </c>
      <c r="D38" s="73" t="s">
        <v>198</v>
      </c>
      <c r="E38" s="73" t="s">
        <v>199</v>
      </c>
      <c r="F38" s="74">
        <v>2</v>
      </c>
      <c r="G38" s="74">
        <v>2</v>
      </c>
      <c r="H38" s="75">
        <v>45658</v>
      </c>
      <c r="I38" s="75">
        <v>46053</v>
      </c>
      <c r="J38" s="76">
        <v>46234</v>
      </c>
      <c r="K38" s="73" t="s">
        <v>200</v>
      </c>
      <c r="L38" s="73" t="s">
        <v>201</v>
      </c>
      <c r="M38" s="73"/>
      <c r="N38" s="73"/>
      <c r="O38" s="77">
        <v>145800000</v>
      </c>
      <c r="P38" s="74">
        <v>1</v>
      </c>
      <c r="Q38" s="78" t="s">
        <v>121</v>
      </c>
      <c r="R38" s="74" t="s">
        <v>35</v>
      </c>
      <c r="S38" s="74" t="s">
        <v>35</v>
      </c>
      <c r="T38" s="73" t="s">
        <v>194</v>
      </c>
      <c r="U38" s="73"/>
      <c r="V38" s="73"/>
      <c r="W38" s="73"/>
      <c r="X38" s="79"/>
      <c r="Y38" s="73"/>
      <c r="Z38" s="22" t="s">
        <v>36</v>
      </c>
      <c r="AA38" s="22" t="s">
        <v>140</v>
      </c>
      <c r="AB38" s="22"/>
    </row>
    <row r="39" spans="1:28" x14ac:dyDescent="0.3">
      <c r="A39" s="72">
        <v>517</v>
      </c>
      <c r="B39" s="81" t="s">
        <v>202</v>
      </c>
      <c r="C39" s="82">
        <v>2025</v>
      </c>
      <c r="D39" s="81" t="s">
        <v>203</v>
      </c>
      <c r="E39" s="81" t="s">
        <v>204</v>
      </c>
      <c r="F39" s="82">
        <v>0</v>
      </c>
      <c r="G39" s="82">
        <v>1</v>
      </c>
      <c r="H39" s="83">
        <v>45839</v>
      </c>
      <c r="I39" s="83">
        <v>46022</v>
      </c>
      <c r="J39" s="84">
        <v>46112</v>
      </c>
      <c r="K39" s="81" t="s">
        <v>205</v>
      </c>
      <c r="L39" s="81" t="s">
        <v>206</v>
      </c>
      <c r="M39" s="81"/>
      <c r="N39" s="81"/>
      <c r="O39" s="85">
        <v>100000000</v>
      </c>
      <c r="P39" s="82">
        <v>2</v>
      </c>
      <c r="Q39" s="86" t="s">
        <v>34</v>
      </c>
      <c r="R39" s="82" t="s">
        <v>35</v>
      </c>
      <c r="S39" s="82" t="s">
        <v>35</v>
      </c>
      <c r="T39" s="87" t="s">
        <v>207</v>
      </c>
      <c r="U39" s="73"/>
      <c r="V39" s="73"/>
      <c r="W39" s="73"/>
      <c r="X39" s="79"/>
      <c r="Y39" s="73"/>
      <c r="Z39" s="22" t="s">
        <v>36</v>
      </c>
      <c r="AA39" s="22" t="s">
        <v>208</v>
      </c>
      <c r="AB39" s="22"/>
    </row>
    <row r="40" spans="1:28" x14ac:dyDescent="0.3">
      <c r="A40" s="72">
        <v>556</v>
      </c>
      <c r="B40" s="88" t="s">
        <v>202</v>
      </c>
      <c r="C40" s="65">
        <v>2025</v>
      </c>
      <c r="D40" s="88" t="s">
        <v>209</v>
      </c>
      <c r="E40" s="88" t="s">
        <v>210</v>
      </c>
      <c r="F40" s="65">
        <v>1</v>
      </c>
      <c r="G40" s="65">
        <v>1</v>
      </c>
      <c r="H40" s="89">
        <v>45839</v>
      </c>
      <c r="I40" s="89">
        <v>46022</v>
      </c>
      <c r="J40" s="90">
        <v>46112</v>
      </c>
      <c r="K40" s="88" t="s">
        <v>211</v>
      </c>
      <c r="L40" s="88" t="s">
        <v>212</v>
      </c>
      <c r="M40" s="88"/>
      <c r="N40" s="88"/>
      <c r="O40" s="91">
        <v>765851000</v>
      </c>
      <c r="P40" s="65">
        <v>14</v>
      </c>
      <c r="Q40" s="92" t="s">
        <v>34</v>
      </c>
      <c r="R40" s="65" t="s">
        <v>35</v>
      </c>
      <c r="S40" s="65" t="s">
        <v>35</v>
      </c>
      <c r="T40" s="93" t="s">
        <v>213</v>
      </c>
      <c r="U40" s="73"/>
      <c r="V40" s="73"/>
      <c r="W40" s="73"/>
      <c r="X40" s="79"/>
      <c r="Y40" s="73"/>
      <c r="Z40" s="22" t="s">
        <v>36</v>
      </c>
      <c r="AA40" s="22" t="s">
        <v>208</v>
      </c>
      <c r="AB40" s="22"/>
    </row>
  </sheetData>
  <phoneticPr fontId="3" type="noConversion"/>
  <conditionalFormatting sqref="J1:J40">
    <cfRule type="expression" dxfId="2" priority="1">
      <formula>AND($J1&gt;=TODAY(),$J1-TODAY()&lt;=30)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단계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회계법인 정동</dc:creator>
  <cp:lastModifiedBy>회계법인 정동</cp:lastModifiedBy>
  <dcterms:created xsi:type="dcterms:W3CDTF">2026-02-18T12:31:57Z</dcterms:created>
  <dcterms:modified xsi:type="dcterms:W3CDTF">2026-02-18T12:33:05Z</dcterms:modified>
</cp:coreProperties>
</file>